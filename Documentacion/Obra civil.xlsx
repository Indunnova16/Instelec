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anaso\Downloads\"/>
    </mc:Choice>
  </mc:AlternateContent>
  <xr:revisionPtr revIDLastSave="0" documentId="13_ncr:1_{FC7112CB-3FEB-43D8-8462-7ECBED02322A}" xr6:coauthVersionLast="47" xr6:coauthVersionMax="47" xr10:uidLastSave="{00000000-0000-0000-0000-000000000000}"/>
  <bookViews>
    <workbookView xWindow="-120" yWindow="-120" windowWidth="20730" windowHeight="11040" xr2:uid="{15937579-8F96-4F57-B2C6-FD02FC693DD7}"/>
  </bookViews>
  <sheets>
    <sheet name="CANT OOCC" sheetId="2" r:id="rId1"/>
    <sheet name="OOCC" sheetId="1" state="hidden" r:id="rId2"/>
    <sheet name="CANT MONTAJE" sheetId="3" state="hidden" r:id="rId3"/>
    <sheet name="MONTAJE" sheetId="4" state="hidden" r:id="rId4"/>
    <sheet name=" SPT y Pintura" sheetId="8" state="hidden" r:id="rId5"/>
    <sheet name="CANT TENDIDO" sheetId="7" state="hidden" r:id="rId6"/>
    <sheet name="Trinchos y cunetas" sheetId="11" state="hidden" r:id="rId7"/>
  </sheets>
  <externalReferences>
    <externalReference r:id="rId8"/>
  </externalReferences>
  <definedNames>
    <definedName name="_xlnm._FilterDatabase" localSheetId="4" hidden="1">' SPT y Pintura'!$A$1:$M$68</definedName>
    <definedName name="_xlnm._FilterDatabase" localSheetId="2" hidden="1">'CANT MONTAJE'!$A$1:$AC$68</definedName>
    <definedName name="_xlnm._FilterDatabase" localSheetId="0" hidden="1">'CANT OOCC'!$A$3:$CV$87</definedName>
    <definedName name="_ftn3">#REF!</definedName>
    <definedName name="_ftnref3">#REF!</definedName>
    <definedName name="Equipos">'[1]Eq F18'!$A$10:$H$87</definedName>
    <definedName name="Material">'[1]Mat F19'!$A$10:$G$1003</definedName>
    <definedName name="MO">[1]Mo!$B$3:$D$32</definedName>
    <definedName name="Transporte">[1]Transp!$A$8:$E$39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2" i="3" l="1"/>
  <c r="BY5" i="2"/>
  <c r="BC5" i="2"/>
  <c r="AD6" i="2"/>
  <c r="AD7" i="2"/>
  <c r="AD8" i="2"/>
  <c r="AD9" i="2"/>
  <c r="AD10" i="2"/>
  <c r="AD11" i="2"/>
  <c r="AD12" i="2"/>
  <c r="AD13" i="2"/>
  <c r="AD14" i="2"/>
  <c r="AD15" i="2"/>
  <c r="AD16" i="2"/>
  <c r="AD17" i="2"/>
  <c r="AD18" i="2"/>
  <c r="AD19" i="2"/>
  <c r="AD20" i="2"/>
  <c r="AD21" i="2"/>
  <c r="AD22" i="2"/>
  <c r="AD23" i="2"/>
  <c r="AD24" i="2"/>
  <c r="AD25" i="2"/>
  <c r="AD26" i="2"/>
  <c r="AD27" i="2"/>
  <c r="AD28" i="2"/>
  <c r="AD29" i="2"/>
  <c r="AD30" i="2"/>
  <c r="AD31" i="2"/>
  <c r="AD32" i="2"/>
  <c r="AD33" i="2"/>
  <c r="AD34" i="2"/>
  <c r="AD35" i="2"/>
  <c r="AD36" i="2"/>
  <c r="AD37" i="2"/>
  <c r="AD38" i="2"/>
  <c r="AD39" i="2"/>
  <c r="AD40" i="2"/>
  <c r="AD41" i="2"/>
  <c r="AD42" i="2"/>
  <c r="AD43" i="2"/>
  <c r="AD44" i="2"/>
  <c r="AD45" i="2"/>
  <c r="AD46" i="2"/>
  <c r="AD47" i="2"/>
  <c r="AD48" i="2"/>
  <c r="AD49" i="2"/>
  <c r="AD50" i="2"/>
  <c r="AD51" i="2"/>
  <c r="AD52" i="2"/>
  <c r="AD53" i="2"/>
  <c r="AD54" i="2"/>
  <c r="AD55" i="2"/>
  <c r="AD56" i="2"/>
  <c r="AD57" i="2"/>
  <c r="AD58" i="2"/>
  <c r="AD59" i="2"/>
  <c r="AD60" i="2"/>
  <c r="AD61" i="2"/>
  <c r="AD62" i="2"/>
  <c r="AD63" i="2"/>
  <c r="AD64" i="2"/>
  <c r="AD65" i="2"/>
  <c r="AD66" i="2"/>
  <c r="AD67" i="2"/>
  <c r="AD68" i="2"/>
  <c r="AD69" i="2"/>
  <c r="AD70" i="2"/>
  <c r="AD71" i="2"/>
  <c r="AD72" i="2"/>
  <c r="AD73" i="2"/>
  <c r="AD74" i="2"/>
  <c r="AD75" i="2"/>
  <c r="AD76" i="2"/>
  <c r="AD77" i="2"/>
  <c r="AD78" i="2"/>
  <c r="AD79" i="2"/>
  <c r="AD80" i="2"/>
  <c r="AD81" i="2"/>
  <c r="AD82" i="2"/>
  <c r="AD83" i="2"/>
  <c r="AD84" i="2"/>
  <c r="AD85" i="2"/>
  <c r="AD86" i="2"/>
  <c r="AD5" i="2"/>
  <c r="D87" i="2"/>
  <c r="C83" i="3" l="1"/>
  <c r="C77" i="3"/>
  <c r="W19" i="7" l="1"/>
  <c r="L5" i="7" l="1"/>
  <c r="L4" i="7"/>
  <c r="M71" i="7"/>
  <c r="I71" i="7"/>
  <c r="H71" i="7"/>
  <c r="G71" i="7"/>
  <c r="F71" i="7"/>
  <c r="E71" i="7"/>
  <c r="B70" i="7"/>
  <c r="B69" i="7"/>
  <c r="B68" i="7"/>
  <c r="B67" i="7"/>
  <c r="B66" i="7"/>
  <c r="B65" i="7"/>
  <c r="B64" i="7"/>
  <c r="B63" i="7"/>
  <c r="B62" i="7"/>
  <c r="B61" i="7"/>
  <c r="B60" i="7"/>
  <c r="B59" i="7"/>
  <c r="B58" i="7"/>
  <c r="B57" i="7"/>
  <c r="B56" i="7"/>
  <c r="B55" i="7"/>
  <c r="B54" i="7"/>
  <c r="B53" i="7"/>
  <c r="B51" i="7"/>
  <c r="B50" i="7"/>
  <c r="B49" i="7"/>
  <c r="B48" i="7"/>
  <c r="B47" i="7"/>
  <c r="B46" i="7"/>
  <c r="B45" i="7"/>
  <c r="B44" i="7"/>
  <c r="B43" i="7"/>
  <c r="B42" i="7"/>
  <c r="B41" i="7"/>
  <c r="B40" i="7"/>
  <c r="B39" i="7"/>
  <c r="B38" i="7"/>
  <c r="B37" i="7"/>
  <c r="B36" i="7"/>
  <c r="B35" i="7"/>
  <c r="B34" i="7"/>
  <c r="B33" i="7"/>
  <c r="B32" i="7"/>
  <c r="B31" i="7"/>
  <c r="B30" i="7"/>
  <c r="B28" i="7"/>
  <c r="B27" i="7"/>
  <c r="B26" i="7"/>
  <c r="B25" i="7"/>
  <c r="B24" i="7"/>
  <c r="B23" i="7"/>
  <c r="B22" i="7"/>
  <c r="B21" i="7"/>
  <c r="B20" i="7"/>
  <c r="B19" i="7"/>
  <c r="B18" i="7"/>
  <c r="B17" i="7"/>
  <c r="B16" i="7"/>
  <c r="B15" i="7"/>
  <c r="B14" i="7"/>
  <c r="B13" i="7"/>
  <c r="B12" i="7"/>
  <c r="B11" i="7"/>
  <c r="B10" i="7"/>
  <c r="B9" i="7"/>
  <c r="B8" i="7"/>
  <c r="B7" i="7"/>
  <c r="B6" i="7"/>
  <c r="B5" i="7"/>
  <c r="B4" i="7"/>
  <c r="B3" i="7"/>
  <c r="L71" i="7" l="1"/>
  <c r="CT53" i="2"/>
  <c r="AA6" i="3"/>
  <c r="U5" i="4" s="1"/>
  <c r="AA7" i="3"/>
  <c r="S6" i="4" s="1"/>
  <c r="AA8" i="3"/>
  <c r="S8" i="4" s="1"/>
  <c r="AA9" i="3"/>
  <c r="AA10" i="3"/>
  <c r="U6" i="4" s="1"/>
  <c r="AA11" i="3"/>
  <c r="Y6" i="4" s="1"/>
  <c r="AA12" i="3"/>
  <c r="W8" i="4" s="1"/>
  <c r="AA13" i="3"/>
  <c r="Y8" i="4" s="1"/>
  <c r="AA14" i="3"/>
  <c r="U7" i="4" s="1"/>
  <c r="AA15" i="3"/>
  <c r="AA16" i="3"/>
  <c r="W5" i="4" s="1"/>
  <c r="AA17" i="3"/>
  <c r="S9" i="4" s="1"/>
  <c r="AA18" i="3"/>
  <c r="AA19" i="3"/>
  <c r="AA20" i="3"/>
  <c r="Y7" i="4" s="1"/>
  <c r="AA21" i="3"/>
  <c r="AA8" i="4" s="1"/>
  <c r="AA22" i="3"/>
  <c r="AA7" i="4" s="1"/>
  <c r="AA23" i="3"/>
  <c r="W6" i="4" s="1"/>
  <c r="AA24" i="3"/>
  <c r="S10" i="4" s="1"/>
  <c r="AA25" i="3"/>
  <c r="AC7" i="4" s="1"/>
  <c r="AA26" i="3"/>
  <c r="AC8" i="4" s="1"/>
  <c r="AA27" i="3"/>
  <c r="AE8" i="4" s="1"/>
  <c r="AA28" i="3"/>
  <c r="U9" i="4" s="1"/>
  <c r="AA29" i="3"/>
  <c r="AA6" i="4" s="1"/>
  <c r="AA30" i="3"/>
  <c r="W9" i="4" s="1"/>
  <c r="AA31" i="3"/>
  <c r="AA32" i="3"/>
  <c r="AA9" i="4" s="1"/>
  <c r="AA33" i="3"/>
  <c r="AG7" i="4" s="1"/>
  <c r="AA34" i="3"/>
  <c r="AC9" i="4" s="1"/>
  <c r="AA35" i="3"/>
  <c r="AA36" i="3"/>
  <c r="U10" i="4" s="1"/>
  <c r="AA37" i="3"/>
  <c r="AE7" i="4" s="1"/>
  <c r="AA38" i="3"/>
  <c r="AG9" i="4" s="1"/>
  <c r="AA39" i="3"/>
  <c r="AG10" i="4" s="1"/>
  <c r="AA40" i="3"/>
  <c r="W4" i="4" s="1"/>
  <c r="AA41" i="3"/>
  <c r="W10" i="4" s="1"/>
  <c r="AA42" i="3"/>
  <c r="AA43" i="3"/>
  <c r="Y10" i="4" s="1"/>
  <c r="AA44" i="3"/>
  <c r="AA10" i="4" s="1"/>
  <c r="AA45" i="3"/>
  <c r="S11" i="4" s="1"/>
  <c r="AA46" i="3"/>
  <c r="U11" i="4" s="1"/>
  <c r="AA47" i="3"/>
  <c r="AC10" i="4" s="1"/>
  <c r="AA48" i="3"/>
  <c r="W11" i="4" s="1"/>
  <c r="AA49" i="3"/>
  <c r="AE10" i="4" s="1"/>
  <c r="AA50" i="3"/>
  <c r="Y11" i="4" s="1"/>
  <c r="AA51" i="3"/>
  <c r="AA52" i="3"/>
  <c r="AA11" i="4" s="1"/>
  <c r="AA53" i="3"/>
  <c r="AC11" i="4" s="1"/>
  <c r="AA54" i="3"/>
  <c r="AE11" i="4" s="1"/>
  <c r="AA55" i="3"/>
  <c r="AG11" i="4" s="1"/>
  <c r="AA56" i="3"/>
  <c r="W12" i="4" s="1"/>
  <c r="AA57" i="3"/>
  <c r="S12" i="4" s="1"/>
  <c r="AA58" i="3"/>
  <c r="Y12" i="4" s="1"/>
  <c r="AA59" i="3"/>
  <c r="AA12" i="4" s="1"/>
  <c r="AA60" i="3"/>
  <c r="AC12" i="4" s="1"/>
  <c r="AA61" i="3"/>
  <c r="AE12" i="4" s="1"/>
  <c r="AA62" i="3"/>
  <c r="AG12" i="4" s="1"/>
  <c r="AA63" i="3"/>
  <c r="U12" i="4" s="1"/>
  <c r="AA64" i="3"/>
  <c r="S13" i="4" s="1"/>
  <c r="AA65" i="3"/>
  <c r="U13" i="4" s="1"/>
  <c r="AA66" i="3"/>
  <c r="W13" i="4" s="1"/>
  <c r="AA4" i="3"/>
  <c r="S5" i="4" s="1"/>
  <c r="AA5" i="3"/>
  <c r="S7" i="4" s="1"/>
  <c r="AA3" i="3"/>
  <c r="S4" i="4" s="1"/>
  <c r="CT73" i="2"/>
  <c r="U4" i="4" l="1"/>
  <c r="O4" i="4" s="1"/>
  <c r="AA68" i="3"/>
  <c r="O14" i="4"/>
  <c r="O5" i="4"/>
  <c r="O6" i="4"/>
  <c r="O7" i="4"/>
  <c r="O8" i="4"/>
  <c r="O9" i="4"/>
  <c r="O10" i="4"/>
  <c r="O11" i="4"/>
  <c r="O12" i="4"/>
  <c r="O13" i="4"/>
  <c r="D4" i="4"/>
  <c r="P4" i="4" s="1"/>
  <c r="AB68" i="3"/>
  <c r="X68" i="3"/>
  <c r="W68" i="3"/>
  <c r="R68" i="3"/>
  <c r="L68" i="3"/>
  <c r="I68" i="3"/>
  <c r="B67" i="3"/>
  <c r="B66" i="3"/>
  <c r="B65" i="3"/>
  <c r="B64" i="3"/>
  <c r="B63" i="3"/>
  <c r="B62" i="3"/>
  <c r="B61" i="3"/>
  <c r="B60" i="3"/>
  <c r="B59" i="3"/>
  <c r="B58" i="3"/>
  <c r="B57" i="3"/>
  <c r="B56" i="3"/>
  <c r="B55" i="3"/>
  <c r="B54" i="3"/>
  <c r="B53" i="3"/>
  <c r="B52" i="3"/>
  <c r="B51" i="3"/>
  <c r="B50" i="3"/>
  <c r="B49" i="3"/>
  <c r="B48" i="3"/>
  <c r="B47" i="3"/>
  <c r="B46" i="3"/>
  <c r="B45" i="3"/>
  <c r="B44" i="3"/>
  <c r="B43" i="3"/>
  <c r="B42" i="3"/>
  <c r="B41" i="3"/>
  <c r="B40" i="3"/>
  <c r="B39" i="3"/>
  <c r="B38" i="3"/>
  <c r="B37" i="3"/>
  <c r="B36" i="3"/>
  <c r="B35" i="3"/>
  <c r="B34" i="3"/>
  <c r="B33" i="3"/>
  <c r="B32" i="3"/>
  <c r="B31" i="3"/>
  <c r="B30" i="3"/>
  <c r="B29" i="3"/>
  <c r="B28" i="3"/>
  <c r="B27" i="3"/>
  <c r="B26" i="3"/>
  <c r="B25" i="3"/>
  <c r="B24" i="3"/>
  <c r="B23" i="3"/>
  <c r="B22" i="3"/>
  <c r="B21" i="3"/>
  <c r="B20" i="3"/>
  <c r="B19" i="3"/>
  <c r="B18" i="3"/>
  <c r="B17" i="3"/>
  <c r="B16" i="3"/>
  <c r="B15" i="3"/>
  <c r="B14" i="3"/>
  <c r="B13" i="3"/>
  <c r="B12" i="3"/>
  <c r="B11" i="3"/>
  <c r="B10" i="3"/>
  <c r="B9" i="3"/>
  <c r="B8" i="3"/>
  <c r="B7" i="3"/>
  <c r="B6" i="3"/>
  <c r="B5" i="3"/>
  <c r="B4" i="3"/>
  <c r="B3" i="3"/>
  <c r="P5" i="4" l="1"/>
  <c r="M30" i="1" l="1"/>
  <c r="M31" i="1"/>
  <c r="M32" i="1"/>
  <c r="AR87" i="2" l="1"/>
  <c r="BE87" i="2"/>
  <c r="CK87" i="2"/>
  <c r="CR87" i="2"/>
  <c r="Y87" i="2"/>
  <c r="CT54" i="2"/>
  <c r="CT55" i="2"/>
  <c r="CT56" i="2"/>
  <c r="CT57" i="2"/>
  <c r="CT58" i="2"/>
  <c r="CT59" i="2"/>
  <c r="S28" i="1" s="1"/>
  <c r="CT60" i="2"/>
  <c r="Q17" i="1" s="1"/>
  <c r="CT61" i="2"/>
  <c r="S17" i="1" s="1"/>
  <c r="CT62" i="2"/>
  <c r="Q21" i="1" s="1"/>
  <c r="CT63" i="2"/>
  <c r="U24" i="1" s="1"/>
  <c r="CT64" i="2"/>
  <c r="U23" i="1" s="1"/>
  <c r="N4" i="1"/>
  <c r="CT65" i="2"/>
  <c r="CT66" i="2"/>
  <c r="CT67" i="2"/>
  <c r="CT68" i="2"/>
  <c r="S21" i="1" s="1"/>
  <c r="CT69" i="2"/>
  <c r="S24" i="1" s="1"/>
  <c r="CT70" i="2"/>
  <c r="CT71" i="2"/>
  <c r="CT72" i="2"/>
  <c r="CT74" i="2"/>
  <c r="CT75" i="2"/>
  <c r="CT76" i="2"/>
  <c r="Q22" i="1" s="1"/>
  <c r="CT77" i="2"/>
  <c r="U29" i="1" s="1"/>
  <c r="CT78" i="2"/>
  <c r="CT79" i="2"/>
  <c r="Q26" i="1" s="1"/>
  <c r="CT80" i="2"/>
  <c r="S26" i="1" s="1"/>
  <c r="CT81" i="2"/>
  <c r="U27" i="1" s="1"/>
  <c r="CT82" i="2"/>
  <c r="S27" i="1" s="1"/>
  <c r="CT83" i="2"/>
  <c r="CT84" i="2"/>
  <c r="Q29" i="1" s="1"/>
  <c r="CT85" i="2"/>
  <c r="Q28" i="1" s="1"/>
  <c r="CT86" i="2"/>
  <c r="S29" i="1" s="1"/>
  <c r="M29" i="1" l="1"/>
  <c r="M27" i="1"/>
  <c r="M28" i="1"/>
  <c r="M26" i="1"/>
  <c r="O4" i="1"/>
  <c r="Q5" i="1"/>
  <c r="CT16" i="2"/>
  <c r="CT25" i="2"/>
  <c r="S22" i="1" s="1"/>
  <c r="M22" i="1" s="1"/>
  <c r="CT26" i="2"/>
  <c r="CT27" i="2"/>
  <c r="CT28" i="2"/>
  <c r="S13" i="1" s="1"/>
  <c r="CT29" i="2"/>
  <c r="CT30" i="2"/>
  <c r="W13" i="1" s="1"/>
  <c r="CT31" i="2"/>
  <c r="CT32" i="2"/>
  <c r="U10" i="1" s="1"/>
  <c r="CT33" i="2"/>
  <c r="Q20" i="1" s="1"/>
  <c r="CT34" i="2"/>
  <c r="Q23" i="1" s="1"/>
  <c r="CT35" i="2"/>
  <c r="CT36" i="2"/>
  <c r="S23" i="1" s="1"/>
  <c r="CT37" i="2"/>
  <c r="U12" i="1" s="1"/>
  <c r="CT38" i="2"/>
  <c r="U14" i="1" s="1"/>
  <c r="CT39" i="2"/>
  <c r="W14" i="1" s="1"/>
  <c r="CT40" i="2"/>
  <c r="CT41" i="2"/>
  <c r="Q24" i="1" s="1"/>
  <c r="M24" i="1" s="1"/>
  <c r="CT42" i="2"/>
  <c r="CT43" i="2"/>
  <c r="CT44" i="2"/>
  <c r="Y13" i="1" s="1"/>
  <c r="CT45" i="2"/>
  <c r="CT46" i="2"/>
  <c r="S25" i="1" s="1"/>
  <c r="CT47" i="2"/>
  <c r="CT48" i="2"/>
  <c r="Q25" i="1" s="1"/>
  <c r="CT49" i="2"/>
  <c r="S20" i="1" s="1"/>
  <c r="CT50" i="2"/>
  <c r="W15" i="1" s="1"/>
  <c r="CT51" i="2"/>
  <c r="Q16" i="1" s="1"/>
  <c r="CT52" i="2"/>
  <c r="S16" i="1" s="1"/>
  <c r="U16" i="1"/>
  <c r="S5" i="1"/>
  <c r="Q6" i="1"/>
  <c r="M6" i="1" s="1"/>
  <c r="U9" i="1"/>
  <c r="M17" i="1"/>
  <c r="CT12" i="2"/>
  <c r="Q10" i="1"/>
  <c r="W12" i="1"/>
  <c r="S9" i="1"/>
  <c r="S11" i="1"/>
  <c r="U11" i="1"/>
  <c r="Q9" i="1"/>
  <c r="W10" i="1"/>
  <c r="Q7" i="1"/>
  <c r="M7" i="1" s="1"/>
  <c r="S10" i="1"/>
  <c r="CT2" i="2"/>
  <c r="M18" i="1"/>
  <c r="M19" i="1"/>
  <c r="M21" i="1"/>
  <c r="D4" i="1"/>
  <c r="D5" i="1" s="1"/>
  <c r="D6" i="1" s="1"/>
  <c r="D7" i="1" s="1"/>
  <c r="D8" i="1" s="1"/>
  <c r="D9" i="1" s="1"/>
  <c r="D10" i="1" s="1"/>
  <c r="D11" i="1" s="1"/>
  <c r="D12" i="1" s="1"/>
  <c r="D13" i="1" s="1"/>
  <c r="D14" i="1" s="1"/>
  <c r="D15" i="1" s="1"/>
  <c r="D16" i="1" s="1"/>
  <c r="D17" i="1" s="1"/>
  <c r="D18" i="1" s="1"/>
  <c r="D19" i="1" s="1"/>
  <c r="D20" i="1" s="1"/>
  <c r="D21" i="1" s="1"/>
  <c r="D22" i="1" s="1"/>
  <c r="D23" i="1" s="1"/>
  <c r="M23" i="1" l="1"/>
  <c r="E23" i="1"/>
  <c r="D24" i="1"/>
  <c r="M25" i="1"/>
  <c r="E9" i="1"/>
  <c r="E18" i="1"/>
  <c r="E17" i="1"/>
  <c r="E10" i="1"/>
  <c r="E7" i="1"/>
  <c r="M20" i="1"/>
  <c r="CT87" i="2"/>
  <c r="Q15" i="1"/>
  <c r="U13" i="1"/>
  <c r="S14" i="1"/>
  <c r="Q14" i="1"/>
  <c r="Q13" i="1"/>
  <c r="Y15" i="1"/>
  <c r="S12" i="1"/>
  <c r="U15" i="1"/>
  <c r="Q8" i="1"/>
  <c r="M8" i="1" s="1"/>
  <c r="S15" i="1"/>
  <c r="Q11" i="1"/>
  <c r="M11" i="1" s="1"/>
  <c r="M16" i="1"/>
  <c r="Q12" i="1"/>
  <c r="E13" i="1"/>
  <c r="E20" i="1"/>
  <c r="E12" i="1"/>
  <c r="E21" i="1"/>
  <c r="E19" i="1"/>
  <c r="E11" i="1"/>
  <c r="E5" i="1"/>
  <c r="E16" i="1"/>
  <c r="E8" i="1"/>
  <c r="E15" i="1"/>
  <c r="E22" i="1"/>
  <c r="E14" i="1"/>
  <c r="E6" i="1"/>
  <c r="M5" i="1"/>
  <c r="N5" i="1" s="1"/>
  <c r="M9" i="1"/>
  <c r="M10" i="1"/>
  <c r="M13" i="1" l="1"/>
  <c r="D25" i="1"/>
  <c r="E24" i="1"/>
  <c r="M14" i="1"/>
  <c r="M15" i="1"/>
  <c r="M12" i="1"/>
  <c r="N6" i="1"/>
  <c r="O5" i="1"/>
  <c r="D26" i="1" l="1"/>
  <c r="E25" i="1"/>
  <c r="N7" i="1"/>
  <c r="O6" i="1"/>
  <c r="E26" i="1" l="1"/>
  <c r="D27" i="1"/>
  <c r="N8" i="1"/>
  <c r="O7" i="1"/>
  <c r="D28" i="1" l="1"/>
  <c r="E27" i="1"/>
  <c r="O8" i="1"/>
  <c r="N9" i="1"/>
  <c r="D29" i="1" l="1"/>
  <c r="E28" i="1"/>
  <c r="N10" i="1"/>
  <c r="O9" i="1"/>
  <c r="E29" i="1" l="1"/>
  <c r="D30" i="1"/>
  <c r="O10" i="1"/>
  <c r="N11" i="1"/>
  <c r="O11" i="1" s="1"/>
  <c r="E30" i="1" l="1"/>
  <c r="D31" i="1"/>
  <c r="E4" i="4"/>
  <c r="D5" i="4"/>
  <c r="N12" i="1"/>
  <c r="E31" i="1" l="1"/>
  <c r="D32" i="1"/>
  <c r="E32" i="1" s="1"/>
  <c r="E5" i="4"/>
  <c r="D6" i="4"/>
  <c r="N13" i="1"/>
  <c r="O12" i="1"/>
  <c r="Q4" i="4" l="1"/>
  <c r="E6" i="4"/>
  <c r="D7" i="4"/>
  <c r="O13" i="1"/>
  <c r="N14" i="1"/>
  <c r="E7" i="4" l="1"/>
  <c r="D8" i="4"/>
  <c r="P6" i="4"/>
  <c r="Q5" i="4"/>
  <c r="N15" i="1"/>
  <c r="O14" i="1"/>
  <c r="P7" i="4" l="1"/>
  <c r="Q6" i="4"/>
  <c r="D9" i="4"/>
  <c r="E8" i="4"/>
  <c r="O15" i="1"/>
  <c r="N16" i="1"/>
  <c r="D10" i="4" l="1"/>
  <c r="E9" i="4"/>
  <c r="Q7" i="4"/>
  <c r="P8" i="4"/>
  <c r="N17" i="1"/>
  <c r="O16" i="1"/>
  <c r="Q8" i="4" l="1"/>
  <c r="P9" i="4"/>
  <c r="E10" i="4"/>
  <c r="D11" i="4"/>
  <c r="N18" i="1"/>
  <c r="O17" i="1"/>
  <c r="D12" i="4" l="1"/>
  <c r="E11" i="4"/>
  <c r="P10" i="4"/>
  <c r="Q9" i="4"/>
  <c r="O18" i="1"/>
  <c r="N19" i="1"/>
  <c r="P11" i="4" l="1"/>
  <c r="Q10" i="4"/>
  <c r="E12" i="4"/>
  <c r="D13" i="4"/>
  <c r="N20" i="1"/>
  <c r="O19" i="1"/>
  <c r="E13" i="4" l="1"/>
  <c r="D14" i="4"/>
  <c r="E14" i="4" s="1"/>
  <c r="Q11" i="4"/>
  <c r="P12" i="4"/>
  <c r="N21" i="1"/>
  <c r="N22" i="1" s="1"/>
  <c r="O20" i="1"/>
  <c r="N23" i="1" l="1"/>
  <c r="O22" i="1"/>
  <c r="P13" i="4"/>
  <c r="Q13" i="4" s="1"/>
  <c r="Q12" i="4"/>
  <c r="O21" i="1"/>
  <c r="O23" i="1" l="1"/>
  <c r="N24" i="1"/>
  <c r="O24" i="1" l="1"/>
  <c r="N25" i="1"/>
  <c r="N26" i="1" l="1"/>
  <c r="O25" i="1"/>
  <c r="O26" i="1" l="1"/>
  <c r="N27" i="1"/>
  <c r="O27" i="1" l="1"/>
  <c r="N28" i="1"/>
  <c r="N29" i="1" l="1"/>
  <c r="O28" i="1"/>
  <c r="N30" i="1" l="1"/>
  <c r="O29" i="1"/>
  <c r="N31" i="1" l="1"/>
  <c r="O30" i="1"/>
  <c r="O31" i="1" l="1"/>
  <c r="N32" i="1"/>
  <c r="O32" i="1" s="1"/>
</calcChain>
</file>

<file path=xl/sharedStrings.xml><?xml version="1.0" encoding="utf-8"?>
<sst xmlns="http://schemas.openxmlformats.org/spreadsheetml/2006/main" count="1220" uniqueCount="377">
  <si>
    <t>PROGRAMADAS</t>
  </si>
  <si>
    <t>FECHA</t>
  </si>
  <si>
    <t>No DE TORRE</t>
  </si>
  <si>
    <t>CONSTRUIDAS</t>
  </si>
  <si>
    <t>PENDIENTE</t>
  </si>
  <si>
    <t>No TORRE</t>
  </si>
  <si>
    <t>ACUMULADO CONSTRUIDO</t>
  </si>
  <si>
    <t>Torre</t>
  </si>
  <si>
    <t>Avance</t>
  </si>
  <si>
    <t>PROGRAMADO X SEMANA</t>
  </si>
  <si>
    <t>CONSTRUIDO X SEMANA</t>
  </si>
  <si>
    <t>E1</t>
  </si>
  <si>
    <t xml:space="preserve">Helicoidal </t>
  </si>
  <si>
    <t>E2</t>
  </si>
  <si>
    <t>E3</t>
  </si>
  <si>
    <t>E4</t>
  </si>
  <si>
    <t>E5</t>
  </si>
  <si>
    <t>E6</t>
  </si>
  <si>
    <t>E7</t>
  </si>
  <si>
    <t>E8</t>
  </si>
  <si>
    <t>E9</t>
  </si>
  <si>
    <t>E10</t>
  </si>
  <si>
    <t>E11</t>
  </si>
  <si>
    <t>E12</t>
  </si>
  <si>
    <t>E13</t>
  </si>
  <si>
    <t>E14</t>
  </si>
  <si>
    <t>Zapata</t>
  </si>
  <si>
    <t>E15</t>
  </si>
  <si>
    <t>E16</t>
  </si>
  <si>
    <t>E17</t>
  </si>
  <si>
    <t>E18</t>
  </si>
  <si>
    <t>E19</t>
  </si>
  <si>
    <t>E20</t>
  </si>
  <si>
    <t>E21</t>
  </si>
  <si>
    <t>E22</t>
  </si>
  <si>
    <t>E23</t>
  </si>
  <si>
    <t>E24</t>
  </si>
  <si>
    <t>E26</t>
  </si>
  <si>
    <t>E27</t>
  </si>
  <si>
    <t>E28</t>
  </si>
  <si>
    <t>E29</t>
  </si>
  <si>
    <t>E30</t>
  </si>
  <si>
    <t>E31</t>
  </si>
  <si>
    <t>E32</t>
  </si>
  <si>
    <t>E33</t>
  </si>
  <si>
    <t>E34</t>
  </si>
  <si>
    <t>E35</t>
  </si>
  <si>
    <t>E36</t>
  </si>
  <si>
    <t>E37</t>
  </si>
  <si>
    <t>E38</t>
  </si>
  <si>
    <t>E39</t>
  </si>
  <si>
    <t>E40</t>
  </si>
  <si>
    <t>E41</t>
  </si>
  <si>
    <t>E42</t>
  </si>
  <si>
    <t>E43</t>
  </si>
  <si>
    <t>E44</t>
  </si>
  <si>
    <t>E45</t>
  </si>
  <si>
    <t>E46</t>
  </si>
  <si>
    <t>E47</t>
  </si>
  <si>
    <t>E48</t>
  </si>
  <si>
    <t>E49</t>
  </si>
  <si>
    <t>E50</t>
  </si>
  <si>
    <t>E51</t>
  </si>
  <si>
    <t>E52</t>
  </si>
  <si>
    <t>E53</t>
  </si>
  <si>
    <t>E54</t>
  </si>
  <si>
    <t>E55</t>
  </si>
  <si>
    <t>E56</t>
  </si>
  <si>
    <t>E57</t>
  </si>
  <si>
    <t>E58</t>
  </si>
  <si>
    <t>E59</t>
  </si>
  <si>
    <t>E60</t>
  </si>
  <si>
    <t>E61</t>
  </si>
  <si>
    <t>E62</t>
  </si>
  <si>
    <t>E63</t>
  </si>
  <si>
    <t>E64</t>
  </si>
  <si>
    <t>E65</t>
  </si>
  <si>
    <t>TORRE</t>
  </si>
  <si>
    <t>EXCAVACION</t>
  </si>
  <si>
    <t>TOTAL</t>
  </si>
  <si>
    <t>SOLADO</t>
  </si>
  <si>
    <t>TOTAL INICIADAS</t>
  </si>
  <si>
    <t>% AVENCE PROGRAMADO</t>
  </si>
  <si>
    <t>ACUMULADO PROGRAMADO</t>
  </si>
  <si>
    <t>% AVENCE CONSTRUIDO</t>
  </si>
  <si>
    <t>COMENTARIO</t>
  </si>
  <si>
    <t>Ciment helicoidal</t>
  </si>
  <si>
    <t>Ciment zapata</t>
  </si>
  <si>
    <t>Cambio de configuración pilotes</t>
  </si>
  <si>
    <t>INSTALACION DE ACERO</t>
  </si>
  <si>
    <t>VACIADO EN CONCRETO</t>
  </si>
  <si>
    <t>DISEÑO CONSTRUIDO</t>
  </si>
  <si>
    <t>a</t>
  </si>
  <si>
    <t>b</t>
  </si>
  <si>
    <t>c</t>
  </si>
  <si>
    <t>h</t>
  </si>
  <si>
    <t>Ingreso despues del 30 de abril, cambio menor,por desplazamiento por arbol</t>
  </si>
  <si>
    <t>zapata</t>
  </si>
  <si>
    <t>desplazamiento despues del 2 de mayo, solicitud de cambio antel el ICANH</t>
  </si>
  <si>
    <t>desplazamiento despues del 30 de mayo, solicitud de cambio antel el ICANH</t>
  </si>
  <si>
    <t>Jaguey</t>
  </si>
  <si>
    <t>zapata despues del 30 de mayo Anla, cambio de ingreso</t>
  </si>
  <si>
    <t>Recubrimiento realce, solicitud de cambio ante el ICANH 2 de mayo</t>
  </si>
  <si>
    <t>Aprobacion Recubrimiento realce</t>
  </si>
  <si>
    <t>Recubrimiento realce, para el 2 de mayo cambio menor</t>
  </si>
  <si>
    <t>Recubrimiento realce, para el 2 de mayo cambio meno</t>
  </si>
  <si>
    <t>Recubrimiento realce</t>
  </si>
  <si>
    <t>Recubrimiento realce, solicitud de cambio ante el ICANH2 de mayo</t>
  </si>
  <si>
    <t>Recubrimiento realce despues del 30 de mayo, Anla</t>
  </si>
  <si>
    <t xml:space="preserve"> </t>
  </si>
  <si>
    <t>Estructura</t>
  </si>
  <si>
    <t>Función</t>
  </si>
  <si>
    <t>Tipo de torre</t>
  </si>
  <si>
    <t>Cuerpo</t>
  </si>
  <si>
    <t>Facturadas HMV</t>
  </si>
  <si>
    <t>PORTICO SAN FELIPE 230 KV</t>
  </si>
  <si>
    <t>Portico San Felipe 230 kV</t>
  </si>
  <si>
    <t>D</t>
  </si>
  <si>
    <t>C6</t>
  </si>
  <si>
    <t>B</t>
  </si>
  <si>
    <t>C4</t>
  </si>
  <si>
    <t>C5</t>
  </si>
  <si>
    <t>C</t>
  </si>
  <si>
    <t>C3</t>
  </si>
  <si>
    <t>C7</t>
  </si>
  <si>
    <t>C2</t>
  </si>
  <si>
    <t>A</t>
  </si>
  <si>
    <t>A especial</t>
  </si>
  <si>
    <t>CU</t>
  </si>
  <si>
    <t>Especial cruce</t>
  </si>
  <si>
    <t>PORTICO PDO 230 KV</t>
  </si>
  <si>
    <t>Portico puesta de oro 230 kV</t>
  </si>
  <si>
    <t>Total</t>
  </si>
  <si>
    <t>MONTADAS</t>
  </si>
  <si>
    <t>Higuita</t>
  </si>
  <si>
    <t>Cruz</t>
  </si>
  <si>
    <t>Realizó</t>
  </si>
  <si>
    <t>Instelec</t>
  </si>
  <si>
    <t>Vestida</t>
  </si>
  <si>
    <t>Riega de manila</t>
  </si>
  <si>
    <t>tendido de conductor</t>
  </si>
  <si>
    <t>Grapado o amarre</t>
  </si>
  <si>
    <t>Accesorios y puentes</t>
  </si>
  <si>
    <t>Construmext</t>
  </si>
  <si>
    <t>vestida de fibra</t>
  </si>
  <si>
    <t>Reiga de manila para fibra</t>
  </si>
  <si>
    <t>Riega de guaya OPGW</t>
  </si>
  <si>
    <t>Cuadrilla</t>
  </si>
  <si>
    <t>wilson</t>
  </si>
  <si>
    <t>Angel</t>
  </si>
  <si>
    <t>Julio</t>
  </si>
  <si>
    <t>Mec</t>
  </si>
  <si>
    <t>Riega de guaya Conductor</t>
  </si>
  <si>
    <t>Tendido de OPGW</t>
  </si>
  <si>
    <t>grapado y amarre de fibra</t>
  </si>
  <si>
    <t>julio</t>
  </si>
  <si>
    <t>hig</t>
  </si>
  <si>
    <t>Toro</t>
  </si>
  <si>
    <t>hig 20% angel 80%</t>
  </si>
  <si>
    <t>hIg</t>
  </si>
  <si>
    <t xml:space="preserve">OBRAS DE PROTECCION </t>
  </si>
  <si>
    <t xml:space="preserve">Torre </t>
  </si>
  <si>
    <t>Medida de manejo</t>
  </si>
  <si>
    <t>Metros lineales de trinchos</t>
  </si>
  <si>
    <t>Metros lineales de cunetas</t>
  </si>
  <si>
    <t>Nota</t>
  </si>
  <si>
    <t>Tubo metálico 3mx3" recubriemiento en caliente de zinc (50micras)</t>
  </si>
  <si>
    <t xml:space="preserve">Malla eslabonada galvanizada en caliente doble inmersión (calibre 10) tejida 50x50mm </t>
  </si>
  <si>
    <t>Alambre galvanizado (kilo)</t>
  </si>
  <si>
    <t>arena (cuñetes)</t>
  </si>
  <si>
    <t xml:space="preserve">gava
(cuñetes)
</t>
  </si>
  <si>
    <t>T004</t>
  </si>
  <si>
    <t>Cuneta</t>
  </si>
  <si>
    <t>T019</t>
  </si>
  <si>
    <t>T033</t>
  </si>
  <si>
    <t>Cuneta y trinchos</t>
  </si>
  <si>
    <t>Revejetalizar, agrotextil y semilla</t>
  </si>
  <si>
    <t>T049</t>
  </si>
  <si>
    <t>T050</t>
  </si>
  <si>
    <t>T052</t>
  </si>
  <si>
    <t>T054</t>
  </si>
  <si>
    <t>T055</t>
  </si>
  <si>
    <t>T056</t>
  </si>
  <si>
    <t>T060</t>
  </si>
  <si>
    <t>Materiales</t>
  </si>
  <si>
    <t>Geotexti (metros)</t>
  </si>
  <si>
    <t>Empalmes OPGW</t>
  </si>
  <si>
    <t>Plscas de señalizac</t>
  </si>
  <si>
    <t xml:space="preserve">Torres Chinas </t>
  </si>
  <si>
    <t>Placa aere</t>
  </si>
  <si>
    <t>Perforacion</t>
  </si>
  <si>
    <t>Placa de peligro 1</t>
  </si>
  <si>
    <t>Placa de peligro 2</t>
  </si>
  <si>
    <t>Placa numeracion</t>
  </si>
  <si>
    <t>Total por torre</t>
  </si>
  <si>
    <t>Total proyecto</t>
  </si>
  <si>
    <t>Torres Nacionales 47</t>
  </si>
  <si>
    <t xml:space="preserve">Torres Chinas 16 </t>
  </si>
  <si>
    <t>Avance %</t>
  </si>
  <si>
    <t>Balizas ó desviadores de vuelo</t>
  </si>
  <si>
    <t>T53</t>
  </si>
  <si>
    <t>Julio Morales</t>
  </si>
  <si>
    <t>T34</t>
  </si>
  <si>
    <t>T23</t>
  </si>
  <si>
    <t xml:space="preserve">Ejecutado por </t>
  </si>
  <si>
    <t>Replanteo topografico</t>
  </si>
  <si>
    <t>Cerramiento</t>
  </si>
  <si>
    <t>Notas</t>
  </si>
  <si>
    <r>
      <t>Metros de excavacion (m</t>
    </r>
    <r>
      <rPr>
        <sz val="8"/>
        <color theme="1"/>
        <rFont val="Calibri"/>
        <family val="2"/>
      </rPr>
      <t>³)</t>
    </r>
  </si>
  <si>
    <t>Observaciones</t>
  </si>
  <si>
    <t>Monitoreo arqueologico (en ejecucion /liberada)</t>
  </si>
  <si>
    <t>FT-929 LOCALIZACIÓN FINAL PILOTES (0/1)</t>
  </si>
  <si>
    <t>FT-928 REGISTRO DE TORQUE (0/1)</t>
  </si>
  <si>
    <t>FT-925 PRUEBA DE CARGA EN PILOTES (0/1)</t>
  </si>
  <si>
    <t>FT-926 MARCACIÓN PILOTES (0/1)</t>
  </si>
  <si>
    <t>FT-922 CONCEPTO DE ENTIBADO (0/1)</t>
  </si>
  <si>
    <t>Excavacion (manual / maquina)</t>
  </si>
  <si>
    <t>FT-058 CONTROL DE EXCAVACIONES (0/1)</t>
  </si>
  <si>
    <t>FT-023 PLANILLA CONTROL DE EXCAVACIONES (0/1)</t>
  </si>
  <si>
    <t>FT-022 MARCACIÓN DE EXCAVACIONES (0/1)</t>
  </si>
  <si>
    <t>Cuadrilla o encargado en ejecutar la tarea (nombre)</t>
  </si>
  <si>
    <t>señalizacion, punto ecolog, baño (0/1)</t>
  </si>
  <si>
    <t>Cantidad de lona o alambre de púa a utilizara (m)</t>
  </si>
  <si>
    <t>Cantidad de madera a utilizar (un)</t>
  </si>
  <si>
    <t>Ingreso de materiales (Vehiculo, manual, mular o teleférico)</t>
  </si>
  <si>
    <t>FT-028 CARTILLA ACERO DE REFUERZO (0/1)</t>
  </si>
  <si>
    <t>FT-930 REVISIÓN ACERO REFUERZO, FORMALETA Y SPT BASE (0/1)</t>
  </si>
  <si>
    <t>SPT, varilla, cable, conectores y herramientas (0/1)</t>
  </si>
  <si>
    <t>Ingreso del acero a sitio de torre (Vehiculo, manual, mular o teleférico)</t>
  </si>
  <si>
    <t>Ingreso de materiales a sitio de torre (Vehiculo, manual, mular o teleférico)</t>
  </si>
  <si>
    <t>Tipo de conctreto (premezclado o hecho en obra)</t>
  </si>
  <si>
    <t>IT-380 INSTRUCTIVO CIMENTACIÓN EN CONCRETO (0/1)</t>
  </si>
  <si>
    <t>FT-916 PLANILLA NIVELACIÓN DE STUB (0/1)</t>
  </si>
  <si>
    <t>FT-056 CONTROL FUNDACIONES DE CONCRETO (0/1)</t>
  </si>
  <si>
    <t>Corte y flejado de acero (0/1)</t>
  </si>
  <si>
    <t>FT-927 REGISTRO DE CANTIDADES EN OBRA INSTLADAO PILOTES (0/1)</t>
  </si>
  <si>
    <t>Pruebas de capacidad portante del terreno con el penetrometro (0/1)</t>
  </si>
  <si>
    <t>Encofrado o formaleteado patas A B C y D (0/1)</t>
  </si>
  <si>
    <t>Nivelacion de stub patas A B C y D (0/1)</t>
  </si>
  <si>
    <t xml:space="preserve">Resistencia teorica del concreto en Megapascales </t>
  </si>
  <si>
    <t>Persona encargada de realizar las puntas de diamante en patas ABC yD</t>
  </si>
  <si>
    <t>Acero armado en Sitio de torre (0/1)</t>
  </si>
  <si>
    <t>Patas</t>
  </si>
  <si>
    <t>Ejecucion de excavacion patas</t>
  </si>
  <si>
    <r>
      <t>Volument de compactacion (m</t>
    </r>
    <r>
      <rPr>
        <sz val="8"/>
        <color theme="1"/>
        <rFont val="Calibri"/>
        <family val="2"/>
      </rPr>
      <t>³</t>
    </r>
    <r>
      <rPr>
        <sz val="7.2"/>
        <color theme="1"/>
        <rFont val="Calibri"/>
        <family val="2"/>
      </rPr>
      <t>)</t>
    </r>
  </si>
  <si>
    <t xml:space="preserve"> Ejecucion  del solado patas A B C y D (0/1)</t>
  </si>
  <si>
    <t>Soldadura de las prolongas a los stup para patas A B C y D (0/1)</t>
  </si>
  <si>
    <t>Prueba del slump o prueba de acentamiento del concreto (0/1)</t>
  </si>
  <si>
    <t>Fecha de vaciado en concreto (D/M/A)</t>
  </si>
  <si>
    <t>Fecha de fabricacio de cilindros para prueba de fallo (D/M/A)</t>
  </si>
  <si>
    <t>Inspeccion final de nivelacion del stup (0/1)</t>
  </si>
  <si>
    <t>Desencofrado resane e hidratacion de pedestales patas A B  c y D (DMA)</t>
  </si>
  <si>
    <t>Tarea de vaciado en conctreto ejecutada (0/1)</t>
  </si>
  <si>
    <t>FT-914 CONTROL DE COMPACTACIÓN (0/1)</t>
  </si>
  <si>
    <t>Compactacion con suelo natural (0/1)</t>
  </si>
  <si>
    <t>Compactacion con suelo cemento (0/1)</t>
  </si>
  <si>
    <t>Compactacion con suelo de prestamo (0/1)</t>
  </si>
  <si>
    <t>Cerramiento finalizado</t>
  </si>
  <si>
    <t>Compactacion finalizada (0/1)</t>
  </si>
  <si>
    <t>OBRA CIVIL</t>
  </si>
  <si>
    <r>
      <t>Cantidad de agua calculada a utilizar (m</t>
    </r>
    <r>
      <rPr>
        <sz val="8"/>
        <color theme="1"/>
        <rFont val="Calibri"/>
        <family val="2"/>
      </rPr>
      <t>³</t>
    </r>
    <r>
      <rPr>
        <sz val="7.2"/>
        <color theme="1"/>
        <rFont val="Calibri"/>
        <family val="2"/>
      </rPr>
      <t>)</t>
    </r>
  </si>
  <si>
    <r>
      <t>Cantidad de agua utilizada en campo (m</t>
    </r>
    <r>
      <rPr>
        <sz val="8"/>
        <color theme="1"/>
        <rFont val="Calibri"/>
        <family val="2"/>
      </rPr>
      <t>³</t>
    </r>
    <r>
      <rPr>
        <sz val="7.2"/>
        <color theme="1"/>
        <rFont val="Calibri"/>
        <family val="2"/>
      </rPr>
      <t>)</t>
    </r>
  </si>
  <si>
    <r>
      <t>Cantidad de arena calculada a utilizar (m</t>
    </r>
    <r>
      <rPr>
        <sz val="8"/>
        <color theme="1"/>
        <rFont val="Calibri"/>
        <family val="2"/>
      </rPr>
      <t>³</t>
    </r>
    <r>
      <rPr>
        <sz val="7.2"/>
        <color theme="1"/>
        <rFont val="Calibri"/>
        <family val="2"/>
      </rPr>
      <t>)</t>
    </r>
  </si>
  <si>
    <r>
      <t>Cantidad de arena utilizada en campo (m</t>
    </r>
    <r>
      <rPr>
        <sz val="8"/>
        <color theme="1"/>
        <rFont val="Calibri"/>
        <family val="2"/>
      </rPr>
      <t>³</t>
    </r>
    <r>
      <rPr>
        <sz val="7.2"/>
        <color theme="1"/>
        <rFont val="Calibri"/>
        <family val="2"/>
      </rPr>
      <t>)</t>
    </r>
  </si>
  <si>
    <r>
      <t>cantidad de grava calculada a utilizar (m</t>
    </r>
    <r>
      <rPr>
        <sz val="8"/>
        <color theme="1"/>
        <rFont val="Calibri"/>
        <family val="2"/>
      </rPr>
      <t>³</t>
    </r>
    <r>
      <rPr>
        <sz val="7.2"/>
        <color theme="1"/>
        <rFont val="Calibri"/>
        <family val="2"/>
      </rPr>
      <t>)</t>
    </r>
  </si>
  <si>
    <r>
      <t>cantidad de grava utilizada en campo (m</t>
    </r>
    <r>
      <rPr>
        <sz val="8"/>
        <color theme="1"/>
        <rFont val="Calibri"/>
        <family val="2"/>
      </rPr>
      <t>³</t>
    </r>
    <r>
      <rPr>
        <sz val="7.2"/>
        <color theme="1"/>
        <rFont val="Calibri"/>
        <family val="2"/>
      </rPr>
      <t>)</t>
    </r>
  </si>
  <si>
    <t>Desviacion de la cantidad de grava utilizada (m³)</t>
  </si>
  <si>
    <t>Desviacion de la candidad arena utilizada (m³)</t>
  </si>
  <si>
    <t>Desviacion de la cantidad de agua utilizada (m³)</t>
  </si>
  <si>
    <t>Cantidad de cemento calculado a utilizar (kl)</t>
  </si>
  <si>
    <t>Cantidad de cemento utilizado en campo (kl)</t>
  </si>
  <si>
    <t>Desviacion de la cantidad de semento utilizado (kg)</t>
  </si>
  <si>
    <t>Cantidad de acero solicitado según planilla(kg)</t>
  </si>
  <si>
    <t>Cantidad de acero instalado (kg)</t>
  </si>
  <si>
    <t>Instalacion  de acero en patas A B C y D (0/1)</t>
  </si>
  <si>
    <t>Desviacion del acero (kg)</t>
  </si>
  <si>
    <r>
      <t>Desviacion de agua para concreto en sitio (m</t>
    </r>
    <r>
      <rPr>
        <sz val="8"/>
        <color theme="1"/>
        <rFont val="Calibri"/>
        <family val="2"/>
      </rPr>
      <t>³</t>
    </r>
    <r>
      <rPr>
        <sz val="9.6"/>
        <color theme="1"/>
        <rFont val="Calibri"/>
        <family val="2"/>
      </rPr>
      <t>)</t>
    </r>
  </si>
  <si>
    <t>Cantidad de agua caculada a utilizar, para concreto en sitio (m³)</t>
  </si>
  <si>
    <t>Cantidad de agua utilizada, para concreto en sitio (m³)</t>
  </si>
  <si>
    <t>Cantidad calculada de arena a utilizar para concreto e sitio (m³)</t>
  </si>
  <si>
    <t>Cantidad utilizada de arena para concreto e sitio (m³)</t>
  </si>
  <si>
    <t xml:space="preserve">Desviacion de la cantidad de arena </t>
  </si>
  <si>
    <t>cantidad calculada de grava a utilizar para conocreto en sitio (m³)</t>
  </si>
  <si>
    <t>cantidad utilizada de grava para conocreto en sitio (m³)</t>
  </si>
  <si>
    <t>Desviacion de la cantidad e grava</t>
  </si>
  <si>
    <t>Cantidad de cemento estructural calculado para concreto en sitio (kl)</t>
  </si>
  <si>
    <t>Cantidad de cemento estructural utilizado para concreto en sitio (kl)</t>
  </si>
  <si>
    <t>Desviacion del cemento (kl)</t>
  </si>
  <si>
    <t>Encargado de prearmado (Nombre)</t>
  </si>
  <si>
    <t>Estructura en sitio de torre (0/1)</t>
  </si>
  <si>
    <t>Prearamada (0/1)</t>
  </si>
  <si>
    <t>Encargado de montaje de torre (Nombre)</t>
  </si>
  <si>
    <t>Fecha de inicio de montaje (DMA)</t>
  </si>
  <si>
    <t>Fecha final de montaje (DMA)</t>
  </si>
  <si>
    <t>Revisada (0/1)</t>
  </si>
  <si>
    <t>Entregada para carga (0/1)</t>
  </si>
  <si>
    <t>Peso de diceño de la estructura (kl)</t>
  </si>
  <si>
    <t>Peso instalado de estructura (kl)</t>
  </si>
  <si>
    <t>Total de estructuras montadas</t>
  </si>
  <si>
    <t>Facturadas al dueño del proyecto</t>
  </si>
  <si>
    <t>Facturadas por el contratista</t>
  </si>
  <si>
    <t xml:space="preserve">Dias en la tarea de montaje </t>
  </si>
  <si>
    <t>FT-032 CONTROL DE MONTAJE Y REVISIÓN DE ESTRUCTURA (0/1)</t>
  </si>
  <si>
    <t>FT-913 CONTROL DE VERTICALIDAD Y TORSIÓN (0/1)</t>
  </si>
  <si>
    <t>FT-920 RECEPCIÓN MONTAJE DE ESTRUCTURA (0/1)</t>
  </si>
  <si>
    <t>FT-029 LECTURA MEDICIÓN PUESTA A TIERRA (0/1)</t>
  </si>
  <si>
    <t>FT-068 CONTROL DE COMPENSACIÓN (0/1)</t>
  </si>
  <si>
    <t>Cuadrilla encargada</t>
  </si>
  <si>
    <t>Cantidad de cable a instalar según planos (m)</t>
  </si>
  <si>
    <t>Cantidad de cable instalado (m)</t>
  </si>
  <si>
    <t>Cantidad de excavacion (m)</t>
  </si>
  <si>
    <t xml:space="preserve">Diferencia  </t>
  </si>
  <si>
    <t>Informe de mediciones entregado (0/1)</t>
  </si>
  <si>
    <t>Torre Montada (0/1)</t>
  </si>
  <si>
    <t>Pintura de patas de torres</t>
  </si>
  <si>
    <t xml:space="preserve"> Sistema de puesta a tierra</t>
  </si>
  <si>
    <t>Pintado de torres con pintura earonautica</t>
  </si>
  <si>
    <t>FT-912 CONTROL ESPESOR PINTURA PATAS (0/1)</t>
  </si>
  <si>
    <t>Torres pintadas (0/1)</t>
  </si>
  <si>
    <t>FT-933 CONTROL PINTURA AERONAUTICA (0/1)</t>
  </si>
  <si>
    <t>Quien ejecuta (Nombre)</t>
  </si>
  <si>
    <t>Fecha de inicio (DMA)</t>
  </si>
  <si>
    <t>Fecha final (DMA)</t>
  </si>
  <si>
    <t>Franja 1 base gris</t>
  </si>
  <si>
    <t>Franja 1 color naranja</t>
  </si>
  <si>
    <t>Franja 2 base gris</t>
  </si>
  <si>
    <t>Franja 2 color blanco</t>
  </si>
  <si>
    <t>Franja 3 base gris</t>
  </si>
  <si>
    <t>Franja 4 base gris</t>
  </si>
  <si>
    <t>Franja 4 color blanco</t>
  </si>
  <si>
    <t>Franja 5 base gris</t>
  </si>
  <si>
    <t>Franja 5 color naranja</t>
  </si>
  <si>
    <t>Franja 6 base</t>
  </si>
  <si>
    <t>Franja 6 color blanco</t>
  </si>
  <si>
    <t>Franja 7 color naranja</t>
  </si>
  <si>
    <t>Revicion de espesor en micras (0/1)</t>
  </si>
  <si>
    <t>Entrega de pintura (0/1)</t>
  </si>
  <si>
    <t>Medicion de espesor de pintura (0/1)</t>
  </si>
  <si>
    <t>Entrega de pintura de patas (0/1)</t>
  </si>
  <si>
    <t>porcentaje de la actividada de prearmado (%)</t>
  </si>
  <si>
    <t>Fecha de inicio de prearmado (DMA)</t>
  </si>
  <si>
    <t>Fecha de finalizacion de prearmado (DMA)</t>
  </si>
  <si>
    <t>Fecha de Torre recibida en patio (DMA)</t>
  </si>
  <si>
    <t>Observaciones de estructura recibida con pendentes</t>
  </si>
  <si>
    <t>Torres recibidas por el patiero a satisfaccion, sin pendientes (0/1)</t>
  </si>
  <si>
    <t>Cantidad de  pintura base proyectada a consumir (Gal)</t>
  </si>
  <si>
    <t>Cantidad de pintura base consumida (Gal)</t>
  </si>
  <si>
    <t>Cantdiad de pintura naranja Proyectada a consumir (Gal)</t>
  </si>
  <si>
    <t>Cantidad de pintura naranaja consumida (Gal)</t>
  </si>
  <si>
    <t>Franja 1 base gris porcentaje de avance (%)</t>
  </si>
  <si>
    <t>Franja 1 color naranja, porcentaje de avance (%)</t>
  </si>
  <si>
    <t>Franja 2 base gris, Porcentaje de avance (%)</t>
  </si>
  <si>
    <t>Franja 2 color blanco, porcentaje de avance (%)</t>
  </si>
  <si>
    <t>Cantdiad de pintura blanca Proyectada a consumir (Gal)</t>
  </si>
  <si>
    <t>Cantidad de pintura blanca consumida (Gal)</t>
  </si>
  <si>
    <t>Franja 3 base gris, porcentaje de avance (%)</t>
  </si>
  <si>
    <t>Franja 3 color naranja</t>
  </si>
  <si>
    <t>Frnaja 3 color naranja, porcentaje de avance (%)</t>
  </si>
  <si>
    <t>Franja 4 base gris, porcentaje de avance (%)</t>
  </si>
  <si>
    <t>Franja 4 color blanco, porcentaje de avance (%)</t>
  </si>
  <si>
    <t>Franja 5 base gris, porcentaje de avance (%)</t>
  </si>
  <si>
    <t>Franja 5 color naranja, porcentaje dea avance (%)</t>
  </si>
  <si>
    <t>Franja 6 base, porcentaje de avance (%)</t>
  </si>
  <si>
    <t>Franja 6 color blanco, porcentaje de avance (%)</t>
  </si>
  <si>
    <t>Franja 7 base gris</t>
  </si>
  <si>
    <t>Franja 7 base gris, porcentaje de avance (%)</t>
  </si>
  <si>
    <t>Franja 7 color naranja, Porcentaje de avance (%)</t>
  </si>
  <si>
    <t>Cantidad de cajas de povora teorica</t>
  </si>
  <si>
    <t>cantidad de polvora real consumida</t>
  </si>
  <si>
    <t xml:space="preserve">Difenencia </t>
  </si>
  <si>
    <t>observaciones</t>
  </si>
  <si>
    <t>Polvora</t>
  </si>
  <si>
    <t>Cable SPT</t>
  </si>
  <si>
    <t>Avance en porcentaje (%)</t>
  </si>
  <si>
    <t>Cantidad de tiros por torre de acuerdo a planos SPT (n)</t>
  </si>
  <si>
    <t>cemento de uso general para trinchos (bulto 50K)</t>
  </si>
  <si>
    <t>Compactacion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</si>
</sst>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 #,##0_-;_-* &quot;-&quot;??_-;_-@_-"/>
    <numFmt numFmtId="165" formatCode="0.0%"/>
  </numFmts>
  <fonts count="11" x14ac:knownFonts="1">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8"/>
      <name val="Arial"/>
      <family val="2"/>
    </font>
    <font>
      <sz val="10"/>
      <color rgb="FF000000"/>
      <name val="Arial"/>
      <family val="2"/>
    </font>
    <font>
      <sz val="8"/>
      <color theme="1"/>
      <name val="Calibri"/>
      <family val="2"/>
      <scheme val="minor"/>
    </font>
    <font>
      <sz val="8"/>
      <name val="Calibri"/>
      <family val="2"/>
      <scheme val="minor"/>
    </font>
    <font>
      <sz val="8"/>
      <color theme="1"/>
      <name val="Calibri"/>
      <family val="2"/>
    </font>
    <font>
      <sz val="7.2"/>
      <color theme="1"/>
      <name val="Calibri"/>
      <family val="2"/>
    </font>
    <font>
      <sz val="9.6"/>
      <color theme="1"/>
      <name val="Calibri"/>
      <family val="2"/>
    </font>
  </fonts>
  <fills count="21">
    <fill>
      <patternFill patternType="none"/>
    </fill>
    <fill>
      <patternFill patternType="gray125"/>
    </fill>
    <fill>
      <patternFill patternType="solid">
        <fgColor theme="4" tint="0.79998168889431442"/>
        <bgColor indexed="64"/>
      </patternFill>
    </fill>
    <fill>
      <patternFill patternType="solid">
        <fgColor theme="7" tint="0.79998168889431442"/>
        <bgColor indexed="64"/>
      </patternFill>
    </fill>
    <fill>
      <patternFill patternType="solid">
        <fgColor theme="0"/>
        <bgColor indexed="64"/>
      </patternFill>
    </fill>
    <fill>
      <patternFill patternType="solid">
        <fgColor rgb="FF92D05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0" tint="-0.499984740745262"/>
        <bgColor indexed="64"/>
      </patternFill>
    </fill>
    <fill>
      <patternFill patternType="solid">
        <fgColor rgb="FFFFFF00"/>
        <bgColor indexed="64"/>
      </patternFill>
    </fill>
    <fill>
      <patternFill patternType="solid">
        <fgColor theme="0" tint="-4.9989318521683403E-2"/>
        <bgColor indexed="64"/>
      </patternFill>
    </fill>
    <fill>
      <patternFill patternType="solid">
        <fgColor rgb="FFFFC000"/>
        <bgColor indexed="64"/>
      </patternFill>
    </fill>
    <fill>
      <patternFill patternType="solid">
        <fgColor rgb="FFFF0000"/>
        <bgColor indexed="64"/>
      </patternFill>
    </fill>
    <fill>
      <patternFill patternType="solid">
        <fgColor theme="2" tint="-0.249977111117893"/>
        <bgColor indexed="64"/>
      </patternFill>
    </fill>
    <fill>
      <patternFill patternType="solid">
        <fgColor rgb="FF99FFCC"/>
        <bgColor indexed="64"/>
      </patternFill>
    </fill>
    <fill>
      <patternFill patternType="solid">
        <fgColor theme="9" tint="0.59999389629810485"/>
        <bgColor indexed="64"/>
      </patternFill>
    </fill>
    <fill>
      <patternFill patternType="solid">
        <fgColor rgb="FFFFCC99"/>
        <bgColor indexed="64"/>
      </patternFill>
    </fill>
    <fill>
      <patternFill patternType="solid">
        <fgColor theme="4" tint="0.59999389629810485"/>
        <bgColor indexed="64"/>
      </patternFill>
    </fill>
    <fill>
      <patternFill patternType="solid">
        <fgColor theme="8" tint="0.79998168889431442"/>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diagonal/>
    </border>
    <border>
      <left style="thin">
        <color indexed="64"/>
      </left>
      <right/>
      <top style="thin">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diagonal/>
    </border>
  </borders>
  <cellStyleXfs count="6">
    <xf numFmtId="0" fontId="0"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0" fontId="5" fillId="0" borderId="0"/>
    <xf numFmtId="9" fontId="1" fillId="0" borderId="0" applyFont="0" applyFill="0" applyBorder="0" applyAlignment="0" applyProtection="0"/>
  </cellStyleXfs>
  <cellXfs count="369">
    <xf numFmtId="0" fontId="0" fillId="0" borderId="0" xfId="0"/>
    <xf numFmtId="0" fontId="0" fillId="0" borderId="1" xfId="0" applyBorder="1"/>
    <xf numFmtId="0" fontId="0" fillId="0" borderId="1" xfId="0" applyBorder="1" applyAlignment="1">
      <alignment horizontal="center"/>
    </xf>
    <xf numFmtId="0" fontId="2" fillId="0" borderId="1" xfId="0" applyFont="1" applyBorder="1" applyAlignment="1">
      <alignment horizontal="center"/>
    </xf>
    <xf numFmtId="0" fontId="2" fillId="0" borderId="1" xfId="0" applyFont="1" applyBorder="1" applyAlignment="1">
      <alignment horizontal="center" vertical="center"/>
    </xf>
    <xf numFmtId="49" fontId="0" fillId="0" borderId="0" xfId="0" applyNumberFormat="1"/>
    <xf numFmtId="0" fontId="2" fillId="0" borderId="1" xfId="0" applyFont="1" applyBorder="1" applyAlignment="1">
      <alignment horizontal="center" vertical="center" wrapText="1"/>
    </xf>
    <xf numFmtId="0" fontId="2" fillId="0" borderId="3" xfId="0" applyFont="1" applyBorder="1" applyAlignment="1">
      <alignment horizontal="center"/>
    </xf>
    <xf numFmtId="0" fontId="2" fillId="0" borderId="4" xfId="0" applyFont="1" applyBorder="1" applyAlignment="1">
      <alignment horizontal="center"/>
    </xf>
    <xf numFmtId="0" fontId="0" fillId="0" borderId="3" xfId="0" applyBorder="1" applyAlignment="1">
      <alignment horizontal="center"/>
    </xf>
    <xf numFmtId="0" fontId="0" fillId="0" borderId="4" xfId="0" applyBorder="1"/>
    <xf numFmtId="0" fontId="0" fillId="2" borderId="3" xfId="0" applyFill="1" applyBorder="1" applyAlignment="1">
      <alignment horizontal="center"/>
    </xf>
    <xf numFmtId="0" fontId="0" fillId="0" borderId="4" xfId="0" applyBorder="1" applyAlignment="1">
      <alignment horizontal="center"/>
    </xf>
    <xf numFmtId="0" fontId="0" fillId="3" borderId="3" xfId="0" applyFill="1" applyBorder="1" applyAlignment="1">
      <alignment horizontal="center"/>
    </xf>
    <xf numFmtId="0" fontId="0" fillId="0" borderId="5" xfId="0" applyBorder="1"/>
    <xf numFmtId="0" fontId="2" fillId="0" borderId="6" xfId="0" applyFont="1" applyBorder="1" applyAlignment="1">
      <alignment horizontal="center"/>
    </xf>
    <xf numFmtId="0" fontId="2" fillId="0" borderId="8" xfId="0" applyFont="1" applyBorder="1" applyAlignment="1">
      <alignment horizontal="center"/>
    </xf>
    <xf numFmtId="0" fontId="0" fillId="0" borderId="1" xfId="0" applyBorder="1" applyAlignment="1">
      <alignment horizontal="center" vertical="center"/>
    </xf>
    <xf numFmtId="1" fontId="3" fillId="0" borderId="1" xfId="0" applyNumberFormat="1" applyFont="1" applyBorder="1" applyAlignment="1">
      <alignment horizontal="center" vertical="center" wrapText="1"/>
    </xf>
    <xf numFmtId="1" fontId="3" fillId="4" borderId="1"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0" fillId="0" borderId="2" xfId="0" applyBorder="1" applyAlignment="1">
      <alignment horizontal="center"/>
    </xf>
    <xf numFmtId="0" fontId="0" fillId="0" borderId="3" xfId="0" applyBorder="1"/>
    <xf numFmtId="0" fontId="2" fillId="0" borderId="10" xfId="0" applyFont="1" applyBorder="1" applyAlignment="1">
      <alignment horizontal="center" vertical="center" wrapText="1"/>
    </xf>
    <xf numFmtId="165" fontId="0" fillId="0" borderId="1" xfId="2" applyNumberFormat="1" applyFont="1" applyBorder="1" applyAlignment="1">
      <alignment horizontal="center"/>
    </xf>
    <xf numFmtId="165" fontId="0" fillId="0" borderId="11" xfId="2" applyNumberFormat="1" applyFont="1" applyBorder="1" applyAlignment="1">
      <alignment horizontal="center"/>
    </xf>
    <xf numFmtId="0" fontId="2" fillId="5" borderId="4" xfId="0" applyFont="1" applyFill="1" applyBorder="1" applyAlignment="1">
      <alignment horizontal="center"/>
    </xf>
    <xf numFmtId="0" fontId="0" fillId="3" borderId="1" xfId="0" applyFill="1" applyBorder="1" applyAlignment="1">
      <alignment horizontal="center"/>
    </xf>
    <xf numFmtId="0" fontId="0" fillId="2" borderId="1" xfId="0" applyFill="1" applyBorder="1" applyAlignment="1">
      <alignment horizontal="center"/>
    </xf>
    <xf numFmtId="0" fontId="2" fillId="5" borderId="1" xfId="0" applyFont="1" applyFill="1" applyBorder="1" applyAlignment="1">
      <alignment horizontal="center"/>
    </xf>
    <xf numFmtId="0" fontId="0" fillId="5" borderId="3" xfId="0" applyFill="1" applyBorder="1" applyAlignment="1">
      <alignment horizontal="center"/>
    </xf>
    <xf numFmtId="0" fontId="0" fillId="0" borderId="0" xfId="0" applyAlignment="1">
      <alignment horizontal="center"/>
    </xf>
    <xf numFmtId="0" fontId="2" fillId="0" borderId="14" xfId="1" applyNumberFormat="1" applyFont="1" applyBorder="1" applyAlignment="1">
      <alignment vertical="center"/>
    </xf>
    <xf numFmtId="0" fontId="0" fillId="0" borderId="15" xfId="0" applyBorder="1" applyAlignment="1">
      <alignment horizontal="center"/>
    </xf>
    <xf numFmtId="164" fontId="2" fillId="0" borderId="14" xfId="1" applyNumberFormat="1" applyFont="1" applyBorder="1" applyAlignment="1">
      <alignment vertical="center"/>
    </xf>
    <xf numFmtId="0" fontId="0" fillId="0" borderId="9" xfId="0" applyBorder="1" applyAlignment="1">
      <alignment horizontal="center"/>
    </xf>
    <xf numFmtId="165" fontId="0" fillId="0" borderId="9" xfId="2" applyNumberFormat="1" applyFont="1" applyBorder="1" applyAlignment="1">
      <alignment horizontal="center"/>
    </xf>
    <xf numFmtId="0" fontId="0" fillId="0" borderId="14" xfId="0" applyBorder="1" applyAlignment="1">
      <alignment horizontal="center"/>
    </xf>
    <xf numFmtId="0" fontId="0" fillId="2" borderId="15" xfId="0" applyFill="1" applyBorder="1" applyAlignment="1">
      <alignment horizontal="center"/>
    </xf>
    <xf numFmtId="0" fontId="0" fillId="3" borderId="15" xfId="0" applyFill="1" applyBorder="1" applyAlignment="1">
      <alignment horizontal="center"/>
    </xf>
    <xf numFmtId="0" fontId="0" fillId="4" borderId="15" xfId="0" applyFill="1" applyBorder="1" applyAlignment="1">
      <alignment horizontal="center"/>
    </xf>
    <xf numFmtId="0" fontId="2" fillId="0" borderId="16" xfId="0" applyFont="1" applyBorder="1" applyAlignment="1">
      <alignment horizontal="center"/>
    </xf>
    <xf numFmtId="0" fontId="2" fillId="0" borderId="17" xfId="0" applyFont="1" applyBorder="1" applyAlignment="1">
      <alignment horizontal="center"/>
    </xf>
    <xf numFmtId="0" fontId="0" fillId="0" borderId="18" xfId="0" applyBorder="1"/>
    <xf numFmtId="0" fontId="0" fillId="0" borderId="19" xfId="0" applyBorder="1"/>
    <xf numFmtId="0" fontId="0" fillId="5" borderId="4" xfId="0" applyFill="1" applyBorder="1" applyAlignment="1">
      <alignment horizontal="center"/>
    </xf>
    <xf numFmtId="0" fontId="2" fillId="5" borderId="14" xfId="1" applyNumberFormat="1" applyFont="1" applyFill="1" applyBorder="1" applyAlignment="1">
      <alignment horizontal="center" vertical="center"/>
    </xf>
    <xf numFmtId="0" fontId="0" fillId="0" borderId="3" xfId="0" applyBorder="1" applyAlignment="1">
      <alignment horizontal="center" vertical="center"/>
    </xf>
    <xf numFmtId="0" fontId="0" fillId="0" borderId="15" xfId="0" applyBorder="1" applyAlignment="1">
      <alignment horizontal="center" vertical="center"/>
    </xf>
    <xf numFmtId="0" fontId="2" fillId="4" borderId="9" xfId="0" applyFont="1" applyFill="1" applyBorder="1" applyAlignment="1">
      <alignment horizontal="center" vertical="center"/>
    </xf>
    <xf numFmtId="0" fontId="2" fillId="4" borderId="9" xfId="0" applyFont="1" applyFill="1" applyBorder="1" applyAlignment="1">
      <alignment horizontal="center" vertical="center" wrapText="1"/>
    </xf>
    <xf numFmtId="0" fontId="2" fillId="0" borderId="9" xfId="0" applyFont="1" applyBorder="1" applyAlignment="1">
      <alignment horizontal="center" vertical="center" wrapText="1"/>
    </xf>
    <xf numFmtId="0" fontId="0" fillId="4" borderId="1" xfId="0" applyFill="1" applyBorder="1" applyAlignment="1">
      <alignment horizontal="center" vertical="center"/>
    </xf>
    <xf numFmtId="0" fontId="0" fillId="4" borderId="1" xfId="0" applyFill="1" applyBorder="1"/>
    <xf numFmtId="0" fontId="0" fillId="5" borderId="1" xfId="0" applyFill="1" applyBorder="1" applyAlignment="1">
      <alignment horizontal="center" vertical="center"/>
    </xf>
    <xf numFmtId="0" fontId="0" fillId="5" borderId="1" xfId="0" applyFill="1" applyBorder="1" applyAlignment="1">
      <alignment horizontal="center"/>
    </xf>
    <xf numFmtId="0" fontId="0" fillId="5" borderId="1" xfId="0" applyFill="1" applyBorder="1"/>
    <xf numFmtId="0" fontId="0" fillId="7" borderId="1" xfId="0" applyFill="1" applyBorder="1" applyAlignment="1">
      <alignment horizontal="center"/>
    </xf>
    <xf numFmtId="0" fontId="0" fillId="4" borderId="1" xfId="0" applyFill="1" applyBorder="1" applyAlignment="1">
      <alignment horizontal="center"/>
    </xf>
    <xf numFmtId="0" fontId="2" fillId="7" borderId="13" xfId="0" applyFont="1" applyFill="1" applyBorder="1" applyAlignment="1">
      <alignment horizontal="center" vertical="center"/>
    </xf>
    <xf numFmtId="0" fontId="2" fillId="7" borderId="1" xfId="0" applyFont="1" applyFill="1" applyBorder="1"/>
    <xf numFmtId="0" fontId="2" fillId="6" borderId="1" xfId="0" applyFont="1" applyFill="1" applyBorder="1"/>
    <xf numFmtId="0" fontId="0" fillId="4" borderId="0" xfId="0" applyFill="1"/>
    <xf numFmtId="14" fontId="0" fillId="0" borderId="0" xfId="0" applyNumberFormat="1"/>
    <xf numFmtId="0" fontId="0" fillId="0" borderId="0" xfId="0" applyAlignment="1">
      <alignment horizontal="center" vertical="center"/>
    </xf>
    <xf numFmtId="165" fontId="0" fillId="0" borderId="0" xfId="2" applyNumberFormat="1" applyFont="1" applyBorder="1" applyAlignment="1">
      <alignment horizontal="center"/>
    </xf>
    <xf numFmtId="0" fontId="2" fillId="0" borderId="1" xfId="0" applyFont="1" applyBorder="1" applyAlignment="1">
      <alignment horizontal="center" wrapText="1"/>
    </xf>
    <xf numFmtId="0" fontId="0" fillId="0" borderId="6" xfId="0" applyBorder="1"/>
    <xf numFmtId="0" fontId="0" fillId="0" borderId="8" xfId="0" applyBorder="1"/>
    <xf numFmtId="0" fontId="2" fillId="0" borderId="3" xfId="0" applyFont="1" applyBorder="1" applyAlignment="1">
      <alignment horizontal="center" vertical="center"/>
    </xf>
    <xf numFmtId="0" fontId="0" fillId="0" borderId="21" xfId="0" applyBorder="1" applyAlignment="1">
      <alignment horizontal="center" vertical="center"/>
    </xf>
    <xf numFmtId="0" fontId="0" fillId="0" borderId="21" xfId="0" applyBorder="1" applyAlignment="1">
      <alignment horizontal="center"/>
    </xf>
    <xf numFmtId="165" fontId="0" fillId="0" borderId="21" xfId="2" applyNumberFormat="1" applyFont="1" applyBorder="1" applyAlignment="1">
      <alignment horizontal="center"/>
    </xf>
    <xf numFmtId="0" fontId="0" fillId="0" borderId="21" xfId="0" applyBorder="1"/>
    <xf numFmtId="0" fontId="0" fillId="0" borderId="22" xfId="0" applyBorder="1"/>
    <xf numFmtId="0" fontId="2" fillId="2" borderId="1" xfId="1" applyNumberFormat="1" applyFont="1" applyFill="1" applyBorder="1" applyAlignment="1">
      <alignment horizontal="center" vertical="center"/>
    </xf>
    <xf numFmtId="164" fontId="2" fillId="2" borderId="1" xfId="1" applyNumberFormat="1" applyFont="1" applyFill="1" applyBorder="1" applyAlignment="1">
      <alignment horizontal="center" vertical="center"/>
    </xf>
    <xf numFmtId="0" fontId="2" fillId="2" borderId="1" xfId="0" applyFont="1" applyFill="1" applyBorder="1" applyAlignment="1">
      <alignment horizontal="center" vertical="center"/>
    </xf>
    <xf numFmtId="0" fontId="2" fillId="2" borderId="21" xfId="0" applyFont="1" applyFill="1" applyBorder="1" applyAlignment="1">
      <alignment horizontal="center" vertical="center"/>
    </xf>
    <xf numFmtId="14" fontId="0" fillId="0" borderId="3" xfId="0" applyNumberFormat="1" applyBorder="1" applyAlignment="1">
      <alignment horizontal="center"/>
    </xf>
    <xf numFmtId="14" fontId="0" fillId="0" borderId="20" xfId="0" applyNumberFormat="1" applyBorder="1" applyAlignment="1">
      <alignment horizontal="center"/>
    </xf>
    <xf numFmtId="164" fontId="0" fillId="0" borderId="1" xfId="0" applyNumberFormat="1" applyBorder="1" applyAlignment="1">
      <alignment horizontal="center" vertical="center"/>
    </xf>
    <xf numFmtId="164" fontId="0" fillId="0" borderId="21" xfId="0" applyNumberFormat="1" applyBorder="1" applyAlignment="1">
      <alignment horizontal="center" vertical="center"/>
    </xf>
    <xf numFmtId="0" fontId="0" fillId="8" borderId="1" xfId="0" applyFill="1" applyBorder="1" applyAlignment="1">
      <alignment horizontal="center" vertical="center"/>
    </xf>
    <xf numFmtId="0" fontId="0" fillId="8" borderId="1" xfId="0" applyFill="1" applyBorder="1" applyAlignment="1">
      <alignment horizontal="center"/>
    </xf>
    <xf numFmtId="0" fontId="0" fillId="8" borderId="13" xfId="0" applyFill="1" applyBorder="1" applyAlignment="1">
      <alignment horizontal="center"/>
    </xf>
    <xf numFmtId="0" fontId="0" fillId="8" borderId="21" xfId="0" applyFill="1" applyBorder="1" applyAlignment="1">
      <alignment horizontal="center"/>
    </xf>
    <xf numFmtId="0" fontId="0" fillId="0" borderId="20" xfId="0" applyBorder="1"/>
    <xf numFmtId="0" fontId="0" fillId="0" borderId="22" xfId="0" applyBorder="1" applyAlignment="1">
      <alignment horizontal="center"/>
    </xf>
    <xf numFmtId="0" fontId="0" fillId="0" borderId="23" xfId="0" applyBorder="1"/>
    <xf numFmtId="0" fontId="0" fillId="0" borderId="20" xfId="0" applyBorder="1" applyAlignment="1">
      <alignment horizontal="center"/>
    </xf>
    <xf numFmtId="0" fontId="0" fillId="0" borderId="24" xfId="0" applyBorder="1" applyAlignment="1">
      <alignment horizontal="center"/>
    </xf>
    <xf numFmtId="165" fontId="0" fillId="0" borderId="25" xfId="2" applyNumberFormat="1" applyFont="1" applyBorder="1" applyAlignment="1">
      <alignment horizontal="center"/>
    </xf>
    <xf numFmtId="0" fontId="0" fillId="0" borderId="20" xfId="0" applyBorder="1" applyAlignment="1">
      <alignment horizontal="center" vertical="center"/>
    </xf>
    <xf numFmtId="0" fontId="0" fillId="0" borderId="17" xfId="0" applyBorder="1"/>
    <xf numFmtId="0" fontId="2" fillId="0" borderId="18" xfId="0" applyFont="1" applyBorder="1" applyAlignment="1">
      <alignment horizontal="center" vertical="center"/>
    </xf>
    <xf numFmtId="14" fontId="0" fillId="0" borderId="18" xfId="0" applyNumberFormat="1" applyBorder="1"/>
    <xf numFmtId="14" fontId="0" fillId="0" borderId="23" xfId="0" applyNumberFormat="1" applyBorder="1"/>
    <xf numFmtId="0" fontId="0" fillId="4" borderId="3" xfId="0" applyFill="1" applyBorder="1" applyAlignment="1">
      <alignment horizontal="center"/>
    </xf>
    <xf numFmtId="0" fontId="2" fillId="4" borderId="4" xfId="0" applyFont="1" applyFill="1" applyBorder="1" applyAlignment="1">
      <alignment horizontal="center"/>
    </xf>
    <xf numFmtId="0" fontId="2" fillId="4" borderId="1" xfId="0" applyFont="1" applyFill="1" applyBorder="1" applyAlignment="1">
      <alignment horizontal="center" wrapText="1"/>
    </xf>
    <xf numFmtId="0" fontId="2" fillId="0" borderId="2" xfId="0" applyFont="1" applyBorder="1" applyAlignment="1">
      <alignment horizontal="center" vertical="center"/>
    </xf>
    <xf numFmtId="0" fontId="0" fillId="0" borderId="2" xfId="0" applyBorder="1" applyAlignment="1">
      <alignment horizontal="center" vertical="center"/>
    </xf>
    <xf numFmtId="0" fontId="0" fillId="0" borderId="30" xfId="0" applyBorder="1"/>
    <xf numFmtId="0" fontId="0" fillId="0" borderId="31" xfId="0" applyBorder="1"/>
    <xf numFmtId="0" fontId="0" fillId="9" borderId="1" xfId="0" applyFill="1" applyBorder="1" applyAlignment="1">
      <alignment horizontal="center"/>
    </xf>
    <xf numFmtId="10" fontId="0" fillId="0" borderId="4" xfId="0" applyNumberFormat="1" applyBorder="1"/>
    <xf numFmtId="0" fontId="0" fillId="0" borderId="26" xfId="0" applyBorder="1" applyAlignment="1">
      <alignment horizontal="center"/>
    </xf>
    <xf numFmtId="0" fontId="0" fillId="0" borderId="29" xfId="0" applyBorder="1" applyAlignment="1">
      <alignment horizontal="center" vertical="center"/>
    </xf>
    <xf numFmtId="0" fontId="0" fillId="0" borderId="0" xfId="0" applyAlignment="1">
      <alignment horizontal="center" wrapText="1"/>
    </xf>
    <xf numFmtId="0" fontId="2" fillId="7" borderId="1" xfId="0" applyFont="1" applyFill="1" applyBorder="1" applyAlignment="1">
      <alignment horizontal="center"/>
    </xf>
    <xf numFmtId="0" fontId="0" fillId="10" borderId="1" xfId="0" applyFill="1" applyBorder="1" applyAlignment="1">
      <alignment horizontal="center" vertical="center"/>
    </xf>
    <xf numFmtId="0" fontId="0" fillId="10" borderId="1" xfId="0" applyFill="1" applyBorder="1" applyAlignment="1">
      <alignment horizontal="center"/>
    </xf>
    <xf numFmtId="0" fontId="0" fillId="10" borderId="1" xfId="0" applyFill="1" applyBorder="1"/>
    <xf numFmtId="0" fontId="0" fillId="10" borderId="2" xfId="0" applyFill="1" applyBorder="1" applyAlignment="1">
      <alignment horizontal="center" vertical="center"/>
    </xf>
    <xf numFmtId="0" fontId="0" fillId="10" borderId="28" xfId="0" applyFill="1" applyBorder="1" applyAlignment="1">
      <alignment horizontal="center" vertical="center"/>
    </xf>
    <xf numFmtId="0" fontId="0" fillId="0" borderId="27" xfId="0" applyBorder="1" applyAlignment="1">
      <alignment horizontal="center" vertical="center" wrapText="1"/>
    </xf>
    <xf numFmtId="0" fontId="0" fillId="0" borderId="27" xfId="0" applyBorder="1" applyAlignment="1">
      <alignment horizontal="center" wrapText="1"/>
    </xf>
    <xf numFmtId="0" fontId="0" fillId="5" borderId="3" xfId="0" applyFill="1" applyBorder="1"/>
    <xf numFmtId="0" fontId="0" fillId="0" borderId="2" xfId="0" applyBorder="1"/>
    <xf numFmtId="0" fontId="0" fillId="5" borderId="2" xfId="0" applyFill="1" applyBorder="1"/>
    <xf numFmtId="0" fontId="0" fillId="5" borderId="0" xfId="0" applyFill="1" applyAlignment="1">
      <alignment horizontal="center"/>
    </xf>
    <xf numFmtId="0" fontId="2" fillId="4" borderId="1" xfId="0" applyFont="1" applyFill="1" applyBorder="1" applyAlignment="1">
      <alignment horizontal="center" vertical="center" wrapText="1"/>
    </xf>
    <xf numFmtId="0" fontId="2" fillId="6" borderId="1" xfId="0" applyFont="1" applyFill="1" applyBorder="1" applyAlignment="1">
      <alignment horizontal="center" vertical="center"/>
    </xf>
    <xf numFmtId="0" fontId="0" fillId="5" borderId="12" xfId="0" applyFill="1" applyBorder="1" applyAlignment="1">
      <alignment horizontal="center"/>
    </xf>
    <xf numFmtId="0" fontId="0" fillId="5" borderId="2" xfId="0" applyFill="1" applyBorder="1" applyAlignment="1">
      <alignment horizontal="center"/>
    </xf>
    <xf numFmtId="0" fontId="0" fillId="5" borderId="11" xfId="0" applyFill="1" applyBorder="1" applyAlignment="1">
      <alignment horizontal="center"/>
    </xf>
    <xf numFmtId="0" fontId="0" fillId="10" borderId="0" xfId="0" applyFill="1" applyAlignment="1">
      <alignment horizontal="center"/>
    </xf>
    <xf numFmtId="0" fontId="0" fillId="5" borderId="2" xfId="0" applyFill="1" applyBorder="1" applyAlignment="1">
      <alignment horizontal="center" vertical="center"/>
    </xf>
    <xf numFmtId="0" fontId="2" fillId="12" borderId="1" xfId="0" applyFont="1" applyFill="1" applyBorder="1" applyAlignment="1">
      <alignment horizontal="center" vertical="center"/>
    </xf>
    <xf numFmtId="0" fontId="2" fillId="12" borderId="1" xfId="0" applyFont="1" applyFill="1" applyBorder="1" applyAlignment="1">
      <alignment horizontal="center" vertical="center" wrapText="1"/>
    </xf>
    <xf numFmtId="0" fontId="2" fillId="5" borderId="1" xfId="0" applyFont="1" applyFill="1" applyBorder="1" applyAlignment="1">
      <alignment horizontal="center" vertical="center"/>
    </xf>
    <xf numFmtId="0" fontId="2" fillId="5" borderId="1" xfId="0" applyFont="1" applyFill="1" applyBorder="1"/>
    <xf numFmtId="0" fontId="2" fillId="6" borderId="1" xfId="0" applyFont="1" applyFill="1" applyBorder="1" applyAlignment="1">
      <alignment horizontal="center" vertical="center" wrapText="1"/>
    </xf>
    <xf numFmtId="0" fontId="2" fillId="6" borderId="2" xfId="0" applyFont="1" applyFill="1" applyBorder="1" applyAlignment="1">
      <alignment horizontal="center"/>
    </xf>
    <xf numFmtId="0" fontId="2" fillId="6" borderId="11" xfId="0" applyFont="1" applyFill="1" applyBorder="1" applyAlignment="1">
      <alignment horizontal="center"/>
    </xf>
    <xf numFmtId="0" fontId="2" fillId="6" borderId="12" xfId="0" applyFont="1" applyFill="1" applyBorder="1" applyAlignment="1">
      <alignment horizontal="center"/>
    </xf>
    <xf numFmtId="0" fontId="2" fillId="0" borderId="0" xfId="0" applyFont="1" applyAlignment="1">
      <alignment horizontal="center"/>
    </xf>
    <xf numFmtId="0" fontId="0" fillId="5" borderId="3" xfId="0" applyFill="1" applyBorder="1" applyAlignment="1">
      <alignment horizontal="left"/>
    </xf>
    <xf numFmtId="0" fontId="0" fillId="5" borderId="13" xfId="0" applyFill="1" applyBorder="1" applyAlignment="1">
      <alignment horizontal="center"/>
    </xf>
    <xf numFmtId="9" fontId="4" fillId="5" borderId="1" xfId="0" applyNumberFormat="1" applyFont="1" applyFill="1" applyBorder="1" applyAlignment="1">
      <alignment horizontal="center" vertical="center" wrapText="1"/>
    </xf>
    <xf numFmtId="0" fontId="2" fillId="13" borderId="1" xfId="0" applyFont="1" applyFill="1" applyBorder="1" applyAlignment="1">
      <alignment horizontal="center" vertical="center" wrapText="1"/>
    </xf>
    <xf numFmtId="0" fontId="2" fillId="13" borderId="1" xfId="0" applyFont="1" applyFill="1" applyBorder="1" applyAlignment="1">
      <alignment horizontal="center" vertical="center"/>
    </xf>
    <xf numFmtId="0" fontId="2" fillId="13" borderId="1" xfId="0" applyFont="1" applyFill="1" applyBorder="1"/>
    <xf numFmtId="0" fontId="0" fillId="5" borderId="1" xfId="0" applyFill="1" applyBorder="1" applyAlignment="1">
      <alignment horizontal="center" wrapText="1"/>
    </xf>
    <xf numFmtId="0" fontId="2" fillId="6" borderId="2" xfId="0" applyFont="1" applyFill="1" applyBorder="1" applyAlignment="1">
      <alignment horizontal="center" vertical="center" wrapText="1"/>
    </xf>
    <xf numFmtId="0" fontId="2" fillId="5" borderId="2" xfId="0" applyFont="1" applyFill="1" applyBorder="1"/>
    <xf numFmtId="0" fontId="0" fillId="5" borderId="1" xfId="0" applyFill="1" applyBorder="1" applyAlignment="1">
      <alignment wrapText="1"/>
    </xf>
    <xf numFmtId="0" fontId="0" fillId="6" borderId="1" xfId="0" applyFill="1" applyBorder="1"/>
    <xf numFmtId="0" fontId="0" fillId="5" borderId="0" xfId="0" applyFill="1"/>
    <xf numFmtId="0" fontId="6" fillId="0" borderId="30" xfId="0" applyFont="1" applyBorder="1" applyAlignment="1">
      <alignment horizontal="center" wrapText="1"/>
    </xf>
    <xf numFmtId="1" fontId="0" fillId="0" borderId="1" xfId="0" applyNumberFormat="1" applyBorder="1" applyAlignment="1">
      <alignment horizontal="center"/>
    </xf>
    <xf numFmtId="0" fontId="6" fillId="0" borderId="1" xfId="0" applyFont="1" applyBorder="1" applyAlignment="1">
      <alignment wrapText="1"/>
    </xf>
    <xf numFmtId="0" fontId="0" fillId="0" borderId="2" xfId="0" applyBorder="1" applyAlignment="1">
      <alignment wrapText="1"/>
    </xf>
    <xf numFmtId="0" fontId="0" fillId="16" borderId="1" xfId="0" applyFill="1" applyBorder="1"/>
    <xf numFmtId="0" fontId="6" fillId="6" borderId="1" xfId="0" applyFont="1" applyFill="1" applyBorder="1" applyAlignment="1">
      <alignment wrapText="1"/>
    </xf>
    <xf numFmtId="0" fontId="0" fillId="17" borderId="1" xfId="0" applyFill="1" applyBorder="1"/>
    <xf numFmtId="0" fontId="6" fillId="18" borderId="1" xfId="0" applyFont="1" applyFill="1" applyBorder="1" applyAlignment="1">
      <alignment wrapText="1"/>
    </xf>
    <xf numFmtId="0" fontId="2" fillId="0" borderId="12" xfId="0" applyFont="1" applyBorder="1" applyAlignment="1">
      <alignment horizontal="center" vertical="center" wrapText="1"/>
    </xf>
    <xf numFmtId="0" fontId="6" fillId="0" borderId="0" xfId="0" applyFont="1"/>
    <xf numFmtId="1" fontId="3" fillId="6" borderId="1" xfId="0" applyNumberFormat="1" applyFont="1" applyFill="1" applyBorder="1" applyAlignment="1">
      <alignment horizontal="center" vertical="center" wrapText="1"/>
    </xf>
    <xf numFmtId="1" fontId="0" fillId="6" borderId="1" xfId="0" applyNumberFormat="1" applyFill="1" applyBorder="1" applyAlignment="1">
      <alignment horizontal="center"/>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1" fontId="3" fillId="19" borderId="1" xfId="0" applyNumberFormat="1" applyFont="1" applyFill="1" applyBorder="1" applyAlignment="1">
      <alignment horizontal="center" vertical="center" wrapText="1"/>
    </xf>
    <xf numFmtId="0" fontId="0" fillId="19" borderId="1" xfId="0" applyFill="1" applyBorder="1" applyAlignment="1">
      <alignment horizontal="center"/>
    </xf>
    <xf numFmtId="1" fontId="0" fillId="19" borderId="1" xfId="0" applyNumberFormat="1" applyFill="1" applyBorder="1" applyAlignment="1">
      <alignment horizontal="center"/>
    </xf>
    <xf numFmtId="0" fontId="6" fillId="6" borderId="30" xfId="0" applyFont="1" applyFill="1" applyBorder="1" applyAlignment="1">
      <alignment horizontal="center" vertical="center" wrapText="1"/>
    </xf>
    <xf numFmtId="0" fontId="6" fillId="19" borderId="30" xfId="0" applyFont="1" applyFill="1" applyBorder="1" applyAlignment="1">
      <alignment horizontal="center" vertical="center" wrapText="1"/>
    </xf>
    <xf numFmtId="0" fontId="6" fillId="0" borderId="30" xfId="0" applyFont="1" applyBorder="1" applyAlignment="1">
      <alignment horizontal="center" vertical="center" wrapText="1"/>
    </xf>
    <xf numFmtId="0" fontId="2" fillId="3" borderId="34" xfId="0" applyFont="1" applyFill="1" applyBorder="1" applyAlignment="1">
      <alignment horizontal="center" vertical="center" wrapText="1"/>
    </xf>
    <xf numFmtId="0" fontId="6" fillId="3" borderId="30" xfId="0" applyFont="1" applyFill="1" applyBorder="1" applyAlignment="1">
      <alignment horizontal="center" vertical="center" wrapText="1"/>
    </xf>
    <xf numFmtId="0" fontId="6" fillId="9" borderId="30" xfId="0" applyFont="1" applyFill="1" applyBorder="1" applyAlignment="1">
      <alignment horizontal="center" vertical="center" wrapText="1"/>
    </xf>
    <xf numFmtId="0" fontId="6" fillId="0" borderId="1" xfId="0" applyFont="1" applyBorder="1"/>
    <xf numFmtId="0" fontId="6" fillId="0" borderId="9" xfId="0" applyFont="1" applyBorder="1" applyAlignment="1">
      <alignment horizontal="center" vertical="center" wrapText="1"/>
    </xf>
    <xf numFmtId="0" fontId="6" fillId="19" borderId="13" xfId="0" applyFont="1" applyFill="1" applyBorder="1" applyAlignment="1">
      <alignment horizontal="center" vertical="center" wrapText="1"/>
    </xf>
    <xf numFmtId="0" fontId="6" fillId="19" borderId="1" xfId="0" applyFont="1" applyFill="1" applyBorder="1" applyAlignment="1">
      <alignment vertical="center" wrapText="1"/>
    </xf>
    <xf numFmtId="0" fontId="6" fillId="8" borderId="30" xfId="0" applyFont="1" applyFill="1" applyBorder="1" applyAlignment="1">
      <alignment horizontal="center" vertical="center" wrapText="1"/>
    </xf>
    <xf numFmtId="0" fontId="6" fillId="8" borderId="1" xfId="0" applyFont="1" applyFill="1" applyBorder="1" applyAlignment="1">
      <alignment wrapText="1"/>
    </xf>
    <xf numFmtId="0" fontId="6" fillId="8" borderId="1" xfId="0" applyFont="1" applyFill="1" applyBorder="1" applyAlignment="1">
      <alignment horizontal="center" vertical="center" wrapText="1"/>
    </xf>
    <xf numFmtId="0" fontId="6" fillId="17" borderId="30" xfId="0" applyFont="1" applyFill="1" applyBorder="1" applyAlignment="1">
      <alignment horizontal="center" vertical="center" wrapText="1"/>
    </xf>
    <xf numFmtId="0" fontId="6" fillId="17" borderId="1" xfId="0" applyFont="1" applyFill="1" applyBorder="1" applyAlignment="1">
      <alignment horizontal="center" vertical="center" wrapText="1"/>
    </xf>
    <xf numFmtId="0" fontId="0" fillId="17" borderId="1" xfId="0" applyFill="1" applyBorder="1" applyAlignment="1">
      <alignment horizontal="center"/>
    </xf>
    <xf numFmtId="0" fontId="0" fillId="0" borderId="30" xfId="0" applyBorder="1" applyAlignment="1">
      <alignment horizontal="center" vertical="center" wrapText="1"/>
    </xf>
    <xf numFmtId="0" fontId="6" fillId="11" borderId="30" xfId="0" applyFont="1" applyFill="1" applyBorder="1" applyAlignment="1">
      <alignment horizontal="center" vertical="center" wrapText="1"/>
    </xf>
    <xf numFmtId="0" fontId="0" fillId="11" borderId="1" xfId="0" applyFill="1" applyBorder="1" applyAlignment="1">
      <alignment horizontal="center"/>
    </xf>
    <xf numFmtId="0" fontId="6" fillId="16" borderId="30" xfId="0" applyFont="1" applyFill="1" applyBorder="1" applyAlignment="1">
      <alignment horizontal="center" vertical="center" wrapText="1"/>
    </xf>
    <xf numFmtId="0" fontId="0" fillId="16" borderId="1" xfId="0" applyFill="1" applyBorder="1" applyAlignment="1">
      <alignment horizontal="center"/>
    </xf>
    <xf numFmtId="0" fontId="6" fillId="7" borderId="30" xfId="0" applyFont="1" applyFill="1" applyBorder="1" applyAlignment="1">
      <alignment horizontal="center" vertical="center" wrapText="1"/>
    </xf>
    <xf numFmtId="0" fontId="6" fillId="2" borderId="30" xfId="0" applyFont="1" applyFill="1" applyBorder="1" applyAlignment="1">
      <alignment horizontal="center" vertical="center" wrapText="1"/>
    </xf>
    <xf numFmtId="0" fontId="7" fillId="16" borderId="30" xfId="0" applyFont="1" applyFill="1" applyBorder="1" applyAlignment="1">
      <alignment horizontal="center" vertical="center" wrapText="1"/>
    </xf>
    <xf numFmtId="0" fontId="3" fillId="16" borderId="1" xfId="0" applyFont="1" applyFill="1" applyBorder="1" applyAlignment="1">
      <alignment horizontal="center"/>
    </xf>
    <xf numFmtId="0" fontId="6" fillId="0" borderId="0" xfId="0" applyFont="1" applyAlignment="1">
      <alignment horizontal="center" vertical="center"/>
    </xf>
    <xf numFmtId="0" fontId="6" fillId="19" borderId="38" xfId="0" applyFont="1" applyFill="1" applyBorder="1" applyAlignment="1">
      <alignment horizontal="center" vertical="center" wrapText="1"/>
    </xf>
    <xf numFmtId="0" fontId="6" fillId="18" borderId="30" xfId="0" applyFont="1" applyFill="1" applyBorder="1" applyAlignment="1">
      <alignment horizontal="center" vertical="center" wrapText="1"/>
    </xf>
    <xf numFmtId="0" fontId="0" fillId="18" borderId="1" xfId="0" applyFill="1" applyBorder="1" applyAlignment="1">
      <alignment horizontal="center"/>
    </xf>
    <xf numFmtId="0" fontId="6" fillId="20" borderId="30" xfId="0" applyFont="1" applyFill="1" applyBorder="1" applyAlignment="1">
      <alignment horizontal="center" vertical="center" wrapText="1"/>
    </xf>
    <xf numFmtId="0" fontId="6" fillId="20" borderId="1" xfId="0" applyFont="1" applyFill="1" applyBorder="1" applyAlignment="1">
      <alignment wrapText="1"/>
    </xf>
    <xf numFmtId="0" fontId="0" fillId="20" borderId="1" xfId="0" applyFill="1" applyBorder="1" applyAlignment="1">
      <alignment horizontal="center"/>
    </xf>
    <xf numFmtId="0" fontId="6" fillId="13" borderId="30" xfId="0" applyFont="1" applyFill="1" applyBorder="1" applyAlignment="1">
      <alignment horizontal="center" vertical="center" wrapText="1"/>
    </xf>
    <xf numFmtId="0" fontId="6" fillId="13" borderId="1" xfId="0" applyFont="1" applyFill="1" applyBorder="1" applyAlignment="1">
      <alignment wrapText="1"/>
    </xf>
    <xf numFmtId="0" fontId="0" fillId="13" borderId="1" xfId="0" applyFill="1" applyBorder="1" applyAlignment="1">
      <alignment horizontal="center"/>
    </xf>
    <xf numFmtId="0" fontId="6" fillId="15" borderId="30" xfId="0" applyFont="1" applyFill="1" applyBorder="1" applyAlignment="1">
      <alignment horizontal="center" vertical="center" wrapText="1"/>
    </xf>
    <xf numFmtId="0" fontId="6" fillId="15" borderId="1" xfId="0" applyFont="1" applyFill="1" applyBorder="1" applyAlignment="1">
      <alignment wrapText="1"/>
    </xf>
    <xf numFmtId="0" fontId="0" fillId="15" borderId="1" xfId="0" applyFill="1" applyBorder="1" applyAlignment="1">
      <alignment horizontal="center"/>
    </xf>
    <xf numFmtId="0" fontId="0" fillId="14" borderId="1" xfId="0" applyFill="1" applyBorder="1"/>
    <xf numFmtId="0" fontId="0" fillId="6" borderId="2" xfId="0" applyFill="1" applyBorder="1" applyAlignment="1">
      <alignment horizontal="center"/>
    </xf>
    <xf numFmtId="0" fontId="0" fillId="9" borderId="2" xfId="0" applyFill="1" applyBorder="1" applyAlignment="1">
      <alignment horizontal="center"/>
    </xf>
    <xf numFmtId="0" fontId="0" fillId="4" borderId="2" xfId="0" applyFill="1" applyBorder="1" applyAlignment="1">
      <alignment horizontal="center"/>
    </xf>
    <xf numFmtId="0" fontId="0" fillId="7" borderId="2" xfId="0" applyFill="1" applyBorder="1" applyAlignment="1">
      <alignment horizontal="center"/>
    </xf>
    <xf numFmtId="0" fontId="6" fillId="0" borderId="32" xfId="0" applyFont="1" applyBorder="1" applyAlignment="1">
      <alignment horizontal="center" wrapText="1"/>
    </xf>
    <xf numFmtId="0" fontId="0" fillId="5" borderId="11" xfId="0" applyFill="1" applyBorder="1"/>
    <xf numFmtId="0" fontId="0" fillId="0" borderId="32" xfId="0" applyBorder="1"/>
    <xf numFmtId="0" fontId="0" fillId="4" borderId="2" xfId="0" applyFill="1" applyBorder="1"/>
    <xf numFmtId="0" fontId="0" fillId="0" borderId="40" xfId="0" applyBorder="1"/>
    <xf numFmtId="0" fontId="0" fillId="0" borderId="10" xfId="0" applyBorder="1"/>
    <xf numFmtId="0" fontId="0" fillId="0" borderId="32" xfId="0" applyBorder="1" applyAlignment="1">
      <alignment horizontal="center" vertical="center"/>
    </xf>
    <xf numFmtId="0" fontId="0" fillId="9" borderId="32" xfId="0" applyFill="1" applyBorder="1"/>
    <xf numFmtId="0" fontId="0" fillId="9" borderId="2" xfId="0" applyFill="1" applyBorder="1"/>
    <xf numFmtId="0" fontId="6" fillId="4" borderId="9" xfId="0" applyFont="1" applyFill="1" applyBorder="1" applyAlignment="1">
      <alignment horizontal="center" vertical="center"/>
    </xf>
    <xf numFmtId="0" fontId="6" fillId="4" borderId="9"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6" fillId="0" borderId="2" xfId="0" applyFont="1" applyBorder="1" applyAlignment="1">
      <alignment horizontal="center" vertical="center" wrapText="1"/>
    </xf>
    <xf numFmtId="0" fontId="6" fillId="0" borderId="30" xfId="0" applyFont="1" applyBorder="1" applyAlignment="1">
      <alignment horizontal="center"/>
    </xf>
    <xf numFmtId="0" fontId="6" fillId="0" borderId="12" xfId="0" applyFont="1" applyBorder="1" applyAlignment="1">
      <alignment wrapText="1"/>
    </xf>
    <xf numFmtId="0" fontId="6" fillId="0" borderId="32" xfId="0" applyFont="1" applyBorder="1" applyAlignment="1">
      <alignment wrapText="1"/>
    </xf>
    <xf numFmtId="0" fontId="0" fillId="16" borderId="2" xfId="0" applyFill="1" applyBorder="1"/>
    <xf numFmtId="0" fontId="6" fillId="16" borderId="30" xfId="0" applyFont="1" applyFill="1" applyBorder="1" applyAlignment="1">
      <alignment wrapText="1"/>
    </xf>
    <xf numFmtId="0" fontId="6" fillId="16" borderId="30" xfId="0" applyFont="1" applyFill="1" applyBorder="1" applyAlignment="1">
      <alignment vertical="center"/>
    </xf>
    <xf numFmtId="0" fontId="6" fillId="16" borderId="32" xfId="0" applyFont="1" applyFill="1" applyBorder="1" applyAlignment="1">
      <alignment vertical="center" wrapText="1"/>
    </xf>
    <xf numFmtId="0" fontId="0" fillId="13" borderId="10" xfId="0" applyFill="1" applyBorder="1" applyAlignment="1">
      <alignment horizontal="center"/>
    </xf>
    <xf numFmtId="0" fontId="0" fillId="13" borderId="0" xfId="0" applyFill="1"/>
    <xf numFmtId="0" fontId="6" fillId="0" borderId="2" xfId="0" applyFont="1" applyBorder="1"/>
    <xf numFmtId="0" fontId="0" fillId="0" borderId="12" xfId="0" applyBorder="1"/>
    <xf numFmtId="0" fontId="0" fillId="6" borderId="11" xfId="0" applyFill="1" applyBorder="1"/>
    <xf numFmtId="0" fontId="0" fillId="6" borderId="25" xfId="0" applyFill="1" applyBorder="1"/>
    <xf numFmtId="0" fontId="0" fillId="13" borderId="11" xfId="0" applyFill="1" applyBorder="1"/>
    <xf numFmtId="0" fontId="0" fillId="13" borderId="25" xfId="0" applyFill="1" applyBorder="1"/>
    <xf numFmtId="0" fontId="0" fillId="13" borderId="2" xfId="0" applyFill="1" applyBorder="1"/>
    <xf numFmtId="0" fontId="0" fillId="13" borderId="24" xfId="0" applyFill="1" applyBorder="1"/>
    <xf numFmtId="0" fontId="0" fillId="13" borderId="1" xfId="0" applyFill="1" applyBorder="1"/>
    <xf numFmtId="0" fontId="2" fillId="6" borderId="0" xfId="0" applyFont="1" applyFill="1" applyAlignment="1">
      <alignment horizontal="center"/>
    </xf>
    <xf numFmtId="0" fontId="2" fillId="16" borderId="0" xfId="0" applyFont="1" applyFill="1" applyAlignment="1">
      <alignment horizontal="center"/>
    </xf>
    <xf numFmtId="0" fontId="6" fillId="6" borderId="41" xfId="0" applyFont="1" applyFill="1" applyBorder="1" applyAlignment="1">
      <alignment wrapText="1"/>
    </xf>
    <xf numFmtId="0" fontId="6" fillId="6" borderId="30" xfId="0" applyFont="1" applyFill="1" applyBorder="1" applyAlignment="1">
      <alignment wrapText="1"/>
    </xf>
    <xf numFmtId="0" fontId="6" fillId="6" borderId="10" xfId="0" applyFont="1" applyFill="1" applyBorder="1" applyAlignment="1">
      <alignment wrapText="1"/>
    </xf>
    <xf numFmtId="0" fontId="6" fillId="13" borderId="32" xfId="0" applyFont="1" applyFill="1" applyBorder="1" applyAlignment="1">
      <alignment wrapText="1"/>
    </xf>
    <xf numFmtId="0" fontId="6" fillId="13" borderId="10" xfId="0" applyFont="1" applyFill="1" applyBorder="1" applyAlignment="1">
      <alignment wrapText="1"/>
    </xf>
    <xf numFmtId="0" fontId="0" fillId="6" borderId="42" xfId="0" applyFill="1" applyBorder="1"/>
    <xf numFmtId="0" fontId="0" fillId="6" borderId="43" xfId="0" applyFill="1" applyBorder="1"/>
    <xf numFmtId="0" fontId="6" fillId="6" borderId="1" xfId="0" applyFont="1" applyFill="1" applyBorder="1" applyAlignment="1">
      <alignment horizontal="center" wrapText="1"/>
    </xf>
    <xf numFmtId="0" fontId="6" fillId="6" borderId="41" xfId="0" applyFont="1" applyFill="1" applyBorder="1" applyAlignment="1">
      <alignment horizontal="center" wrapText="1"/>
    </xf>
    <xf numFmtId="0" fontId="6" fillId="6" borderId="30" xfId="0" applyFont="1" applyFill="1" applyBorder="1" applyAlignment="1">
      <alignment horizontal="center" wrapText="1"/>
    </xf>
    <xf numFmtId="0" fontId="6" fillId="6" borderId="10" xfId="0" applyFont="1" applyFill="1" applyBorder="1" applyAlignment="1">
      <alignment horizontal="center" wrapText="1"/>
    </xf>
    <xf numFmtId="0" fontId="0" fillId="0" borderId="11" xfId="0" applyBorder="1"/>
    <xf numFmtId="0" fontId="0" fillId="0" borderId="25" xfId="0" applyBorder="1"/>
    <xf numFmtId="0" fontId="6" fillId="0" borderId="12" xfId="0" applyFont="1" applyBorder="1" applyAlignment="1">
      <alignment horizontal="center" vertical="center" wrapText="1"/>
    </xf>
    <xf numFmtId="0" fontId="6" fillId="6" borderId="37" xfId="0" applyFont="1" applyFill="1" applyBorder="1"/>
    <xf numFmtId="0" fontId="6" fillId="6" borderId="10" xfId="0" applyFont="1" applyFill="1" applyBorder="1"/>
    <xf numFmtId="0" fontId="6" fillId="6" borderId="2" xfId="0" applyFont="1" applyFill="1" applyBorder="1" applyAlignment="1">
      <alignment horizontal="center" wrapText="1"/>
    </xf>
    <xf numFmtId="0" fontId="0" fillId="6" borderId="2" xfId="0" applyFill="1" applyBorder="1"/>
    <xf numFmtId="0" fontId="6" fillId="13" borderId="1" xfId="0" applyFont="1" applyFill="1" applyBorder="1" applyAlignment="1">
      <alignment horizontal="center" wrapText="1"/>
    </xf>
    <xf numFmtId="0" fontId="6" fillId="13" borderId="2" xfId="0" applyFont="1" applyFill="1" applyBorder="1" applyAlignment="1">
      <alignment horizontal="center" wrapText="1"/>
    </xf>
    <xf numFmtId="0" fontId="6" fillId="13" borderId="32" xfId="0" applyFont="1" applyFill="1" applyBorder="1" applyAlignment="1">
      <alignment horizontal="center" wrapText="1"/>
    </xf>
    <xf numFmtId="0" fontId="6" fillId="13" borderId="30" xfId="0" applyFont="1" applyFill="1" applyBorder="1" applyAlignment="1">
      <alignment horizontal="center" wrapText="1"/>
    </xf>
    <xf numFmtId="0" fontId="6" fillId="13" borderId="10" xfId="0" applyFont="1" applyFill="1" applyBorder="1" applyAlignment="1">
      <alignment horizontal="center" wrapText="1"/>
    </xf>
    <xf numFmtId="0" fontId="0" fillId="6" borderId="2" xfId="0" applyFill="1" applyBorder="1" applyAlignment="1">
      <alignment wrapText="1"/>
    </xf>
    <xf numFmtId="0" fontId="0" fillId="0" borderId="24" xfId="0" applyBorder="1"/>
    <xf numFmtId="0" fontId="0" fillId="13" borderId="44" xfId="0" applyFill="1" applyBorder="1"/>
    <xf numFmtId="0" fontId="6" fillId="6" borderId="32" xfId="0" applyFont="1" applyFill="1" applyBorder="1" applyAlignment="1">
      <alignment wrapText="1"/>
    </xf>
    <xf numFmtId="0" fontId="6" fillId="0" borderId="10" xfId="0" applyFont="1" applyBorder="1" applyAlignment="1">
      <alignment horizontal="center" wrapText="1"/>
    </xf>
    <xf numFmtId="0" fontId="6" fillId="6" borderId="32" xfId="0" applyFont="1" applyFill="1" applyBorder="1" applyAlignment="1">
      <alignment horizontal="center" wrapText="1"/>
    </xf>
    <xf numFmtId="0" fontId="6" fillId="9" borderId="1" xfId="0" applyFont="1" applyFill="1" applyBorder="1" applyAlignment="1">
      <alignment horizontal="center" wrapText="1"/>
    </xf>
    <xf numFmtId="0" fontId="6" fillId="19" borderId="30" xfId="0" applyFont="1" applyFill="1" applyBorder="1" applyAlignment="1">
      <alignment horizontal="center" wrapText="1"/>
    </xf>
    <xf numFmtId="0" fontId="0" fillId="19" borderId="32" xfId="0" applyFill="1" applyBorder="1"/>
    <xf numFmtId="0" fontId="0" fillId="19" borderId="2" xfId="0" applyFill="1" applyBorder="1"/>
    <xf numFmtId="0" fontId="0" fillId="11" borderId="9" xfId="0" applyFill="1" applyBorder="1" applyAlignment="1">
      <alignment horizontal="center"/>
    </xf>
    <xf numFmtId="0" fontId="2" fillId="0" borderId="1" xfId="0" applyFont="1" applyBorder="1"/>
    <xf numFmtId="0" fontId="0" fillId="0" borderId="9" xfId="0" applyBorder="1"/>
    <xf numFmtId="0" fontId="2" fillId="16" borderId="1" xfId="0" applyFont="1" applyFill="1" applyBorder="1" applyAlignment="1">
      <alignment horizontal="center" wrapText="1"/>
    </xf>
    <xf numFmtId="0" fontId="2" fillId="16" borderId="1" xfId="0" applyFont="1" applyFill="1" applyBorder="1" applyAlignment="1">
      <alignment horizontal="center" vertical="center" wrapText="1"/>
    </xf>
    <xf numFmtId="0" fontId="2" fillId="18" borderId="1" xfId="0" applyFont="1" applyFill="1" applyBorder="1" applyAlignment="1">
      <alignment horizontal="center" wrapText="1"/>
    </xf>
    <xf numFmtId="0" fontId="2" fillId="18" borderId="1" xfId="0" applyFont="1" applyFill="1" applyBorder="1" applyAlignment="1">
      <alignment horizontal="center" vertical="center" wrapText="1"/>
    </xf>
    <xf numFmtId="0" fontId="2" fillId="18" borderId="3" xfId="0" applyFont="1" applyFill="1" applyBorder="1" applyAlignment="1">
      <alignment horizontal="center" wrapText="1"/>
    </xf>
    <xf numFmtId="0" fontId="2" fillId="16" borderId="3" xfId="0" applyFont="1" applyFill="1" applyBorder="1" applyAlignment="1">
      <alignment horizontal="center" wrapText="1"/>
    </xf>
    <xf numFmtId="0" fontId="2" fillId="0" borderId="0" xfId="0" applyFont="1" applyAlignment="1">
      <alignment horizontal="center" vertical="center"/>
    </xf>
    <xf numFmtId="0" fontId="0" fillId="0" borderId="0" xfId="0" applyAlignment="1">
      <alignment horizontal="center" vertical="center" wrapText="1"/>
    </xf>
    <xf numFmtId="0" fontId="2" fillId="11" borderId="9" xfId="0" applyFont="1" applyFill="1" applyBorder="1" applyAlignment="1">
      <alignment horizontal="center" vertical="center" wrapText="1"/>
    </xf>
    <xf numFmtId="0" fontId="2" fillId="11" borderId="1" xfId="0" applyFont="1" applyFill="1" applyBorder="1" applyAlignment="1">
      <alignment horizontal="center" vertical="center" wrapText="1"/>
    </xf>
    <xf numFmtId="0" fontId="2" fillId="11" borderId="1" xfId="0" applyFont="1" applyFill="1" applyBorder="1" applyAlignment="1">
      <alignment horizontal="center" wrapText="1"/>
    </xf>
    <xf numFmtId="0" fontId="0" fillId="5" borderId="30" xfId="0" applyFill="1" applyBorder="1" applyAlignment="1">
      <alignment horizontal="center"/>
    </xf>
    <xf numFmtId="0" fontId="0" fillId="11" borderId="1" xfId="0" applyFill="1" applyBorder="1" applyAlignment="1">
      <alignment horizontal="center" wrapText="1"/>
    </xf>
    <xf numFmtId="0" fontId="6" fillId="17" borderId="9" xfId="0" applyFont="1" applyFill="1" applyBorder="1" applyAlignment="1">
      <alignment horizontal="center" vertical="center" wrapText="1"/>
    </xf>
    <xf numFmtId="0" fontId="6" fillId="17" borderId="13" xfId="0" applyFont="1" applyFill="1" applyBorder="1" applyAlignment="1">
      <alignment horizontal="center" vertical="center" wrapText="1"/>
    </xf>
    <xf numFmtId="0" fontId="6" fillId="17" borderId="30" xfId="0" applyFont="1" applyFill="1" applyBorder="1" applyAlignment="1">
      <alignment horizontal="center" vertical="center" wrapText="1"/>
    </xf>
    <xf numFmtId="0" fontId="6" fillId="19" borderId="9" xfId="0" applyFont="1" applyFill="1" applyBorder="1" applyAlignment="1">
      <alignment horizontal="center" vertical="center" wrapText="1"/>
    </xf>
    <xf numFmtId="0" fontId="6" fillId="19" borderId="13" xfId="0" applyFont="1" applyFill="1" applyBorder="1" applyAlignment="1">
      <alignment horizontal="center" vertical="center" wrapText="1"/>
    </xf>
    <xf numFmtId="0" fontId="6" fillId="19" borderId="30" xfId="0" applyFont="1" applyFill="1" applyBorder="1" applyAlignment="1">
      <alignment horizontal="center" vertical="center" wrapText="1"/>
    </xf>
    <xf numFmtId="1" fontId="3" fillId="6" borderId="9" xfId="0" applyNumberFormat="1" applyFont="1" applyFill="1" applyBorder="1" applyAlignment="1">
      <alignment horizontal="center" vertical="center" wrapText="1"/>
    </xf>
    <xf numFmtId="1" fontId="3" fillId="6" borderId="13" xfId="0" applyNumberFormat="1" applyFont="1" applyFill="1" applyBorder="1" applyAlignment="1">
      <alignment horizontal="center" vertical="center" wrapText="1"/>
    </xf>
    <xf numFmtId="1" fontId="3" fillId="6" borderId="30" xfId="0" applyNumberFormat="1" applyFont="1" applyFill="1" applyBorder="1" applyAlignment="1">
      <alignment horizontal="center" vertical="center" wrapText="1"/>
    </xf>
    <xf numFmtId="0" fontId="6" fillId="0" borderId="9" xfId="0" applyFont="1" applyBorder="1" applyAlignment="1">
      <alignment horizontal="center" vertical="center"/>
    </xf>
    <xf numFmtId="0" fontId="6" fillId="0" borderId="13" xfId="0" applyFont="1" applyBorder="1" applyAlignment="1">
      <alignment horizontal="center" vertical="center"/>
    </xf>
    <xf numFmtId="0" fontId="6" fillId="0" borderId="30" xfId="0" applyFont="1" applyBorder="1" applyAlignment="1">
      <alignment horizontal="center" vertical="center"/>
    </xf>
    <xf numFmtId="0" fontId="6" fillId="0" borderId="9"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30" xfId="0" applyFont="1" applyBorder="1" applyAlignment="1">
      <alignment horizontal="center" vertical="center" wrapText="1"/>
    </xf>
    <xf numFmtId="1" fontId="3" fillId="4" borderId="9" xfId="0" applyNumberFormat="1" applyFont="1" applyFill="1" applyBorder="1" applyAlignment="1">
      <alignment horizontal="center" vertical="center" wrapText="1"/>
    </xf>
    <xf numFmtId="1" fontId="3" fillId="4" borderId="13" xfId="0" applyNumberFormat="1" applyFont="1" applyFill="1" applyBorder="1" applyAlignment="1">
      <alignment horizontal="center" vertical="center" wrapText="1"/>
    </xf>
    <xf numFmtId="1" fontId="3" fillId="4" borderId="30" xfId="0" applyNumberFormat="1" applyFont="1" applyFill="1" applyBorder="1" applyAlignment="1">
      <alignment horizontal="center" vertical="center" wrapText="1"/>
    </xf>
    <xf numFmtId="0" fontId="2" fillId="9" borderId="33" xfId="0" applyFont="1" applyFill="1" applyBorder="1" applyAlignment="1">
      <alignment horizontal="center" vertical="center" wrapText="1"/>
    </xf>
    <xf numFmtId="0" fontId="2" fillId="9" borderId="34" xfId="0" applyFont="1" applyFill="1" applyBorder="1" applyAlignment="1">
      <alignment horizontal="center" vertical="center" wrapText="1"/>
    </xf>
    <xf numFmtId="0" fontId="2" fillId="9" borderId="35" xfId="0" applyFont="1" applyFill="1" applyBorder="1" applyAlignment="1">
      <alignment horizontal="center" vertical="center" wrapText="1"/>
    </xf>
    <xf numFmtId="0" fontId="2" fillId="3" borderId="34" xfId="0" applyFont="1" applyFill="1" applyBorder="1" applyAlignment="1">
      <alignment horizontal="center" vertical="center" wrapText="1"/>
    </xf>
    <xf numFmtId="0" fontId="2" fillId="3" borderId="35" xfId="0" applyFont="1" applyFill="1" applyBorder="1" applyAlignment="1">
      <alignment horizontal="center" vertical="center" wrapText="1"/>
    </xf>
    <xf numFmtId="0" fontId="6" fillId="6" borderId="9" xfId="0" applyFont="1" applyFill="1" applyBorder="1" applyAlignment="1">
      <alignment horizontal="center" vertical="center" wrapText="1"/>
    </xf>
    <xf numFmtId="0" fontId="6" fillId="6" borderId="13" xfId="0" applyFont="1" applyFill="1" applyBorder="1" applyAlignment="1">
      <alignment horizontal="center" vertical="center" wrapText="1"/>
    </xf>
    <xf numFmtId="0" fontId="6" fillId="6" borderId="30" xfId="0" applyFont="1" applyFill="1" applyBorder="1" applyAlignment="1">
      <alignment horizontal="center" vertical="center" wrapText="1"/>
    </xf>
    <xf numFmtId="0" fontId="2" fillId="19" borderId="33" xfId="0" applyFont="1" applyFill="1" applyBorder="1" applyAlignment="1">
      <alignment horizontal="center" vertical="center" wrapText="1"/>
    </xf>
    <xf numFmtId="0" fontId="2" fillId="19" borderId="34" xfId="0" applyFont="1" applyFill="1" applyBorder="1" applyAlignment="1">
      <alignment horizontal="center" vertical="center" wrapText="1"/>
    </xf>
    <xf numFmtId="0" fontId="2" fillId="19" borderId="35" xfId="0" applyFont="1" applyFill="1" applyBorder="1" applyAlignment="1">
      <alignment horizontal="center" vertical="center" wrapText="1"/>
    </xf>
    <xf numFmtId="0" fontId="2" fillId="6" borderId="34" xfId="0" applyFont="1" applyFill="1" applyBorder="1" applyAlignment="1">
      <alignment horizontal="center" vertical="center" wrapText="1"/>
    </xf>
    <xf numFmtId="0" fontId="2" fillId="6" borderId="35" xfId="0" applyFont="1" applyFill="1" applyBorder="1" applyAlignment="1">
      <alignment horizontal="center" vertical="center" wrapText="1"/>
    </xf>
    <xf numFmtId="0" fontId="6" fillId="9" borderId="9" xfId="0" applyFont="1" applyFill="1" applyBorder="1" applyAlignment="1">
      <alignment horizontal="center" vertical="center" wrapText="1"/>
    </xf>
    <xf numFmtId="0" fontId="6" fillId="9" borderId="13" xfId="0" applyFont="1" applyFill="1" applyBorder="1" applyAlignment="1">
      <alignment horizontal="center" vertical="center" wrapText="1"/>
    </xf>
    <xf numFmtId="0" fontId="6" fillId="9" borderId="30" xfId="0" applyFont="1" applyFill="1" applyBorder="1" applyAlignment="1">
      <alignment horizontal="center" vertical="center" wrapText="1"/>
    </xf>
    <xf numFmtId="0" fontId="2" fillId="17" borderId="34" xfId="0" applyFont="1" applyFill="1" applyBorder="1" applyAlignment="1">
      <alignment horizontal="center" vertical="center" wrapText="1"/>
    </xf>
    <xf numFmtId="0" fontId="2" fillId="17" borderId="35" xfId="0" applyFont="1" applyFill="1" applyBorder="1" applyAlignment="1">
      <alignment horizontal="center" vertical="center" wrapText="1"/>
    </xf>
    <xf numFmtId="0" fontId="2" fillId="8" borderId="33" xfId="0" applyFont="1" applyFill="1" applyBorder="1" applyAlignment="1">
      <alignment horizontal="center" vertical="center" wrapText="1"/>
    </xf>
    <xf numFmtId="0" fontId="2" fillId="8" borderId="34" xfId="0" applyFont="1" applyFill="1" applyBorder="1" applyAlignment="1">
      <alignment horizontal="center" vertical="center" wrapText="1"/>
    </xf>
    <xf numFmtId="0" fontId="2" fillId="8" borderId="36" xfId="0" applyFont="1" applyFill="1" applyBorder="1" applyAlignment="1">
      <alignment horizontal="center" vertical="center" wrapText="1"/>
    </xf>
    <xf numFmtId="0" fontId="2" fillId="8" borderId="35" xfId="0" applyFont="1" applyFill="1" applyBorder="1" applyAlignment="1">
      <alignment horizontal="center" vertical="center" wrapText="1"/>
    </xf>
    <xf numFmtId="0" fontId="6" fillId="19" borderId="39" xfId="0" applyFont="1" applyFill="1" applyBorder="1" applyAlignment="1">
      <alignment horizontal="center" vertical="center" wrapText="1"/>
    </xf>
    <xf numFmtId="0" fontId="6" fillId="8" borderId="13" xfId="0" applyFont="1" applyFill="1" applyBorder="1" applyAlignment="1">
      <alignment horizontal="center" vertical="center" wrapText="1"/>
    </xf>
    <xf numFmtId="0" fontId="6" fillId="8" borderId="30" xfId="0" applyFont="1" applyFill="1" applyBorder="1" applyAlignment="1">
      <alignment horizontal="center" vertical="center" wrapText="1"/>
    </xf>
    <xf numFmtId="0" fontId="6" fillId="8" borderId="9" xfId="0" applyFont="1" applyFill="1" applyBorder="1" applyAlignment="1">
      <alignment horizontal="center" vertical="center" wrapText="1"/>
    </xf>
    <xf numFmtId="0" fontId="0" fillId="0" borderId="0" xfId="0" applyAlignment="1">
      <alignment horizontal="center"/>
    </xf>
    <xf numFmtId="0" fontId="2" fillId="0" borderId="1" xfId="0" applyFont="1" applyBorder="1" applyAlignment="1">
      <alignment horizontal="center"/>
    </xf>
    <xf numFmtId="0" fontId="2" fillId="0" borderId="4" xfId="0" applyFont="1" applyBorder="1" applyAlignment="1">
      <alignment horizontal="center"/>
    </xf>
    <xf numFmtId="0" fontId="2" fillId="0" borderId="9" xfId="0" applyFont="1" applyBorder="1" applyAlignment="1">
      <alignment horizont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6" xfId="0" applyFont="1" applyBorder="1" applyAlignment="1">
      <alignment horizontal="center"/>
    </xf>
    <xf numFmtId="0" fontId="2" fillId="0" borderId="7" xfId="0" applyFont="1" applyBorder="1" applyAlignment="1">
      <alignment horizontal="center"/>
    </xf>
    <xf numFmtId="0" fontId="2" fillId="0" borderId="8" xfId="0" applyFont="1" applyBorder="1" applyAlignment="1">
      <alignment horizontal="center"/>
    </xf>
    <xf numFmtId="0" fontId="0" fillId="13" borderId="1" xfId="0" applyFill="1" applyBorder="1" applyAlignment="1">
      <alignment horizontal="center"/>
    </xf>
    <xf numFmtId="0" fontId="0" fillId="13" borderId="11" xfId="0" applyFill="1" applyBorder="1" applyAlignment="1">
      <alignment horizontal="center"/>
    </xf>
    <xf numFmtId="0" fontId="0" fillId="13" borderId="12" xfId="0" applyFill="1" applyBorder="1" applyAlignment="1">
      <alignment horizontal="center"/>
    </xf>
    <xf numFmtId="0" fontId="0" fillId="13" borderId="41" xfId="0" applyFill="1" applyBorder="1" applyAlignment="1">
      <alignment horizontal="center"/>
    </xf>
    <xf numFmtId="0" fontId="0" fillId="13" borderId="10" xfId="0" applyFill="1" applyBorder="1" applyAlignment="1">
      <alignment horizontal="center"/>
    </xf>
    <xf numFmtId="0" fontId="0" fillId="13" borderId="0" xfId="0" applyFill="1" applyAlignment="1">
      <alignment horizontal="center"/>
    </xf>
    <xf numFmtId="0" fontId="2" fillId="6" borderId="33" xfId="0" applyFont="1" applyFill="1" applyBorder="1" applyAlignment="1">
      <alignment horizontal="center"/>
    </xf>
    <xf numFmtId="0" fontId="2" fillId="6" borderId="34" xfId="0" applyFont="1" applyFill="1" applyBorder="1" applyAlignment="1">
      <alignment horizontal="center"/>
    </xf>
    <xf numFmtId="0" fontId="2" fillId="6" borderId="36" xfId="0" applyFont="1" applyFill="1" applyBorder="1" applyAlignment="1">
      <alignment horizontal="center"/>
    </xf>
    <xf numFmtId="0" fontId="2" fillId="16" borderId="33" xfId="0" applyFont="1" applyFill="1" applyBorder="1" applyAlignment="1">
      <alignment horizontal="center"/>
    </xf>
    <xf numFmtId="0" fontId="2" fillId="16" borderId="34" xfId="0" applyFont="1" applyFill="1" applyBorder="1" applyAlignment="1">
      <alignment horizontal="center"/>
    </xf>
    <xf numFmtId="0" fontId="2" fillId="16" borderId="35" xfId="0" applyFont="1" applyFill="1" applyBorder="1" applyAlignment="1">
      <alignment horizontal="center"/>
    </xf>
    <xf numFmtId="0" fontId="0" fillId="9" borderId="2" xfId="0" applyFill="1" applyBorder="1" applyAlignment="1">
      <alignment horizontal="center"/>
    </xf>
    <xf numFmtId="0" fontId="0" fillId="9" borderId="11" xfId="0" applyFill="1" applyBorder="1" applyAlignment="1">
      <alignment horizontal="center"/>
    </xf>
    <xf numFmtId="0" fontId="0" fillId="9" borderId="12" xfId="0" applyFill="1" applyBorder="1" applyAlignment="1">
      <alignment horizontal="center"/>
    </xf>
    <xf numFmtId="0" fontId="0" fillId="13" borderId="2" xfId="0" applyFill="1" applyBorder="1" applyAlignment="1">
      <alignment horizontal="center"/>
    </xf>
    <xf numFmtId="0" fontId="0" fillId="4" borderId="1" xfId="0" applyFill="1" applyBorder="1" applyAlignment="1">
      <alignment horizontal="center"/>
    </xf>
    <xf numFmtId="0" fontId="0" fillId="6" borderId="1" xfId="0" applyFill="1" applyBorder="1" applyAlignment="1">
      <alignment horizontal="center"/>
    </xf>
    <xf numFmtId="0" fontId="2" fillId="6" borderId="1" xfId="0" applyFont="1" applyFill="1" applyBorder="1" applyAlignment="1">
      <alignment horizontal="center"/>
    </xf>
    <xf numFmtId="0" fontId="2" fillId="19" borderId="1" xfId="0" applyFont="1" applyFill="1" applyBorder="1" applyAlignment="1">
      <alignment horizontal="center"/>
    </xf>
    <xf numFmtId="0" fontId="2" fillId="12" borderId="2" xfId="0" applyFont="1" applyFill="1" applyBorder="1" applyAlignment="1">
      <alignment horizontal="center"/>
    </xf>
    <xf numFmtId="0" fontId="2" fillId="12" borderId="11" xfId="0" applyFont="1" applyFill="1" applyBorder="1" applyAlignment="1">
      <alignment horizontal="center"/>
    </xf>
    <xf numFmtId="0" fontId="2" fillId="12" borderId="12" xfId="0" applyFont="1" applyFill="1" applyBorder="1" applyAlignment="1">
      <alignment horizontal="center"/>
    </xf>
  </cellXfs>
  <cellStyles count="6">
    <cellStyle name="Millares" xfId="1" builtinId="3"/>
    <cellStyle name="Normal" xfId="0" builtinId="0"/>
    <cellStyle name="Normal 11" xfId="3" xr:uid="{91B7E660-2F79-4691-8119-0D707E89B39C}"/>
    <cellStyle name="Normal 3 2" xfId="4" xr:uid="{B890B278-8539-43B9-81B2-529C380855B8}"/>
    <cellStyle name="Porcentaje" xfId="2" builtinId="5"/>
    <cellStyle name="Porcentaje 3" xfId="5" xr:uid="{5D28E361-5A86-4ECE-ABE0-15364EBADB4D}"/>
  </cellStyles>
  <dxfs count="0"/>
  <tableStyles count="0" defaultTableStyle="TableStyleMedium2" defaultPivotStyle="PivotStyleLight16"/>
  <colors>
    <mruColors>
      <color rgb="FF99FFCC"/>
      <color rgb="FFFFCC99"/>
      <color rgb="FFF2E4E0"/>
      <color rgb="FF66FF99"/>
      <color rgb="FF3399FF"/>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AVANCE</a:t>
            </a:r>
            <a:r>
              <a:rPr lang="es-CO" baseline="0"/>
              <a:t> OOCC LTx PdO (CANT)</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3.711618434230976E-2"/>
          <c:y val="0.24677394555552642"/>
          <c:w val="0.93534415858876985"/>
          <c:h val="0.63835287747715852"/>
        </c:manualLayout>
      </c:layout>
      <c:lineChart>
        <c:grouping val="standard"/>
        <c:varyColors val="0"/>
        <c:ser>
          <c:idx val="0"/>
          <c:order val="0"/>
          <c:tx>
            <c:strRef>
              <c:f>OOCC!$D$2</c:f>
              <c:strCache>
                <c:ptCount val="1"/>
                <c:pt idx="0">
                  <c:v>ACUMULADO PROGRAMADO</c:v>
                </c:pt>
              </c:strCache>
            </c:strRef>
          </c:tx>
          <c:spPr>
            <a:ln w="28575" cap="rnd">
              <a:solidFill>
                <a:schemeClr val="accent1"/>
              </a:solidFill>
              <a:round/>
            </a:ln>
            <a:effectLst/>
          </c:spPr>
          <c:marker>
            <c:symbol val="none"/>
          </c:marker>
          <c:cat>
            <c:numRef>
              <c:f>OOCC!$B$4:$B$23</c:f>
              <c:numCache>
                <c:formatCode>m/d/yyyy</c:formatCode>
                <c:ptCount val="20"/>
                <c:pt idx="0">
                  <c:v>45668</c:v>
                </c:pt>
                <c:pt idx="1">
                  <c:v>45675</c:v>
                </c:pt>
                <c:pt idx="2">
                  <c:v>45682</c:v>
                </c:pt>
                <c:pt idx="3">
                  <c:v>45689</c:v>
                </c:pt>
                <c:pt idx="4">
                  <c:v>45696</c:v>
                </c:pt>
                <c:pt idx="5">
                  <c:v>45703</c:v>
                </c:pt>
                <c:pt idx="6">
                  <c:v>45710</c:v>
                </c:pt>
                <c:pt idx="7">
                  <c:v>45717</c:v>
                </c:pt>
                <c:pt idx="8">
                  <c:v>45724</c:v>
                </c:pt>
                <c:pt idx="9">
                  <c:v>45731</c:v>
                </c:pt>
                <c:pt idx="10">
                  <c:v>45738</c:v>
                </c:pt>
                <c:pt idx="11">
                  <c:v>45745</c:v>
                </c:pt>
                <c:pt idx="12">
                  <c:v>45752</c:v>
                </c:pt>
                <c:pt idx="13">
                  <c:v>45759</c:v>
                </c:pt>
                <c:pt idx="14">
                  <c:v>45766</c:v>
                </c:pt>
                <c:pt idx="15">
                  <c:v>45773</c:v>
                </c:pt>
                <c:pt idx="16">
                  <c:v>45780</c:v>
                </c:pt>
                <c:pt idx="17">
                  <c:v>45787</c:v>
                </c:pt>
                <c:pt idx="18">
                  <c:v>45794</c:v>
                </c:pt>
                <c:pt idx="19">
                  <c:v>45801</c:v>
                </c:pt>
              </c:numCache>
            </c:numRef>
          </c:cat>
          <c:val>
            <c:numRef>
              <c:f>OOCC!$D$4:$D$23</c:f>
              <c:numCache>
                <c:formatCode>General</c:formatCode>
                <c:ptCount val="20"/>
                <c:pt idx="0">
                  <c:v>0</c:v>
                </c:pt>
                <c:pt idx="1">
                  <c:v>2</c:v>
                </c:pt>
                <c:pt idx="2">
                  <c:v>4</c:v>
                </c:pt>
                <c:pt idx="3">
                  <c:v>5</c:v>
                </c:pt>
                <c:pt idx="4">
                  <c:v>7</c:v>
                </c:pt>
                <c:pt idx="5">
                  <c:v>10</c:v>
                </c:pt>
                <c:pt idx="6">
                  <c:v>13</c:v>
                </c:pt>
                <c:pt idx="7">
                  <c:v>16</c:v>
                </c:pt>
                <c:pt idx="8">
                  <c:v>19</c:v>
                </c:pt>
                <c:pt idx="9">
                  <c:v>23</c:v>
                </c:pt>
                <c:pt idx="10">
                  <c:v>23</c:v>
                </c:pt>
                <c:pt idx="11">
                  <c:v>26</c:v>
                </c:pt>
                <c:pt idx="12">
                  <c:v>28</c:v>
                </c:pt>
                <c:pt idx="13">
                  <c:v>30</c:v>
                </c:pt>
                <c:pt idx="14">
                  <c:v>31</c:v>
                </c:pt>
                <c:pt idx="15">
                  <c:v>33</c:v>
                </c:pt>
                <c:pt idx="16">
                  <c:v>36</c:v>
                </c:pt>
                <c:pt idx="17">
                  <c:v>37</c:v>
                </c:pt>
                <c:pt idx="18">
                  <c:v>40</c:v>
                </c:pt>
                <c:pt idx="19">
                  <c:v>43</c:v>
                </c:pt>
              </c:numCache>
            </c:numRef>
          </c:val>
          <c:smooth val="0"/>
          <c:extLst>
            <c:ext xmlns:c16="http://schemas.microsoft.com/office/drawing/2014/chart" uri="{C3380CC4-5D6E-409C-BE32-E72D297353CC}">
              <c16:uniqueId val="{00000000-53F8-4A2B-8E13-5518F90FAF46}"/>
            </c:ext>
          </c:extLst>
        </c:ser>
        <c:ser>
          <c:idx val="1"/>
          <c:order val="1"/>
          <c:tx>
            <c:strRef>
              <c:f>OOCC!$N$2</c:f>
              <c:strCache>
                <c:ptCount val="1"/>
                <c:pt idx="0">
                  <c:v>ACUMULADO CONSTRUIDO</c:v>
                </c:pt>
              </c:strCache>
            </c:strRef>
          </c:tx>
          <c:spPr>
            <a:ln w="28575" cap="rnd">
              <a:solidFill>
                <a:schemeClr val="accent2"/>
              </a:solidFill>
              <a:round/>
            </a:ln>
            <a:effectLst/>
          </c:spPr>
          <c:marker>
            <c:symbol val="none"/>
          </c:marker>
          <c:cat>
            <c:numRef>
              <c:f>OOCC!$B$4:$B$23</c:f>
              <c:numCache>
                <c:formatCode>m/d/yyyy</c:formatCode>
                <c:ptCount val="20"/>
                <c:pt idx="0">
                  <c:v>45668</c:v>
                </c:pt>
                <c:pt idx="1">
                  <c:v>45675</c:v>
                </c:pt>
                <c:pt idx="2">
                  <c:v>45682</c:v>
                </c:pt>
                <c:pt idx="3">
                  <c:v>45689</c:v>
                </c:pt>
                <c:pt idx="4">
                  <c:v>45696</c:v>
                </c:pt>
                <c:pt idx="5">
                  <c:v>45703</c:v>
                </c:pt>
                <c:pt idx="6">
                  <c:v>45710</c:v>
                </c:pt>
                <c:pt idx="7">
                  <c:v>45717</c:v>
                </c:pt>
                <c:pt idx="8">
                  <c:v>45724</c:v>
                </c:pt>
                <c:pt idx="9">
                  <c:v>45731</c:v>
                </c:pt>
                <c:pt idx="10">
                  <c:v>45738</c:v>
                </c:pt>
                <c:pt idx="11">
                  <c:v>45745</c:v>
                </c:pt>
                <c:pt idx="12">
                  <c:v>45752</c:v>
                </c:pt>
                <c:pt idx="13">
                  <c:v>45759</c:v>
                </c:pt>
                <c:pt idx="14">
                  <c:v>45766</c:v>
                </c:pt>
                <c:pt idx="15">
                  <c:v>45773</c:v>
                </c:pt>
                <c:pt idx="16">
                  <c:v>45780</c:v>
                </c:pt>
                <c:pt idx="17">
                  <c:v>45787</c:v>
                </c:pt>
                <c:pt idx="18">
                  <c:v>45794</c:v>
                </c:pt>
                <c:pt idx="19">
                  <c:v>45801</c:v>
                </c:pt>
              </c:numCache>
            </c:numRef>
          </c:cat>
          <c:val>
            <c:numRef>
              <c:f>OOCC!$N$4:$N$23</c:f>
              <c:numCache>
                <c:formatCode>General</c:formatCode>
                <c:ptCount val="20"/>
                <c:pt idx="0">
                  <c:v>0</c:v>
                </c:pt>
                <c:pt idx="1">
                  <c:v>2</c:v>
                </c:pt>
                <c:pt idx="2">
                  <c:v>3</c:v>
                </c:pt>
                <c:pt idx="3">
                  <c:v>4</c:v>
                </c:pt>
                <c:pt idx="4">
                  <c:v>5</c:v>
                </c:pt>
                <c:pt idx="5">
                  <c:v>8</c:v>
                </c:pt>
                <c:pt idx="6">
                  <c:v>12</c:v>
                </c:pt>
                <c:pt idx="7">
                  <c:v>15</c:v>
                </c:pt>
                <c:pt idx="8">
                  <c:v>19</c:v>
                </c:pt>
                <c:pt idx="9">
                  <c:v>24</c:v>
                </c:pt>
                <c:pt idx="10">
                  <c:v>28</c:v>
                </c:pt>
                <c:pt idx="11">
                  <c:v>33</c:v>
                </c:pt>
                <c:pt idx="12">
                  <c:v>36</c:v>
                </c:pt>
                <c:pt idx="13">
                  <c:v>38</c:v>
                </c:pt>
                <c:pt idx="14">
                  <c:v>39</c:v>
                </c:pt>
                <c:pt idx="15">
                  <c:v>40</c:v>
                </c:pt>
                <c:pt idx="16">
                  <c:v>42</c:v>
                </c:pt>
                <c:pt idx="17">
                  <c:v>44</c:v>
                </c:pt>
                <c:pt idx="18">
                  <c:v>46</c:v>
                </c:pt>
                <c:pt idx="19">
                  <c:v>49</c:v>
                </c:pt>
              </c:numCache>
            </c:numRef>
          </c:val>
          <c:smooth val="0"/>
          <c:extLst>
            <c:ext xmlns:c16="http://schemas.microsoft.com/office/drawing/2014/chart" uri="{C3380CC4-5D6E-409C-BE32-E72D297353CC}">
              <c16:uniqueId val="{00000001-53F8-4A2B-8E13-5518F90FAF46}"/>
            </c:ext>
          </c:extLst>
        </c:ser>
        <c:dLbls>
          <c:showLegendKey val="0"/>
          <c:showVal val="0"/>
          <c:showCatName val="0"/>
          <c:showSerName val="0"/>
          <c:showPercent val="0"/>
          <c:showBubbleSize val="0"/>
        </c:dLbls>
        <c:smooth val="0"/>
        <c:axId val="801163936"/>
        <c:axId val="801170656"/>
      </c:lineChart>
      <c:dateAx>
        <c:axId val="801163936"/>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01170656"/>
        <c:crosses val="autoZero"/>
        <c:auto val="1"/>
        <c:lblOffset val="100"/>
        <c:baseTimeUnit val="days"/>
        <c:majorUnit val="7"/>
        <c:majorTimeUnit val="days"/>
      </c:dateAx>
      <c:valAx>
        <c:axId val="801170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011639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AVANCE OOCC LTx PDO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4.2839606494157405E-2"/>
          <c:y val="8.6635788432683908E-2"/>
          <c:w val="0.94331858898295118"/>
          <c:h val="0.72247639051288182"/>
        </c:manualLayout>
      </c:layout>
      <c:lineChart>
        <c:grouping val="standard"/>
        <c:varyColors val="0"/>
        <c:ser>
          <c:idx val="0"/>
          <c:order val="0"/>
          <c:tx>
            <c:strRef>
              <c:f>OOCC!$E$2</c:f>
              <c:strCache>
                <c:ptCount val="1"/>
                <c:pt idx="0">
                  <c:v>% AVENCE PROGRAMADO</c:v>
                </c:pt>
              </c:strCache>
            </c:strRef>
          </c:tx>
          <c:spPr>
            <a:ln w="28575" cap="rnd">
              <a:solidFill>
                <a:schemeClr val="accent1"/>
              </a:solidFill>
              <a:round/>
            </a:ln>
            <a:effectLst/>
          </c:spPr>
          <c:marker>
            <c:symbol val="none"/>
          </c:marker>
          <c:cat>
            <c:numRef>
              <c:f>OOCC!$B$3:$B$23</c:f>
              <c:numCache>
                <c:formatCode>m/d/yyyy</c:formatCode>
                <c:ptCount val="21"/>
                <c:pt idx="1">
                  <c:v>45668</c:v>
                </c:pt>
                <c:pt idx="2">
                  <c:v>45675</c:v>
                </c:pt>
                <c:pt idx="3">
                  <c:v>45682</c:v>
                </c:pt>
                <c:pt idx="4">
                  <c:v>45689</c:v>
                </c:pt>
                <c:pt idx="5">
                  <c:v>45696</c:v>
                </c:pt>
                <c:pt idx="6">
                  <c:v>45703</c:v>
                </c:pt>
                <c:pt idx="7">
                  <c:v>45710</c:v>
                </c:pt>
                <c:pt idx="8">
                  <c:v>45717</c:v>
                </c:pt>
                <c:pt idx="9">
                  <c:v>45724</c:v>
                </c:pt>
                <c:pt idx="10">
                  <c:v>45731</c:v>
                </c:pt>
                <c:pt idx="11">
                  <c:v>45738</c:v>
                </c:pt>
                <c:pt idx="12">
                  <c:v>45745</c:v>
                </c:pt>
                <c:pt idx="13">
                  <c:v>45752</c:v>
                </c:pt>
                <c:pt idx="14">
                  <c:v>45759</c:v>
                </c:pt>
                <c:pt idx="15">
                  <c:v>45766</c:v>
                </c:pt>
                <c:pt idx="16">
                  <c:v>45773</c:v>
                </c:pt>
                <c:pt idx="17">
                  <c:v>45780</c:v>
                </c:pt>
                <c:pt idx="18">
                  <c:v>45787</c:v>
                </c:pt>
                <c:pt idx="19">
                  <c:v>45794</c:v>
                </c:pt>
                <c:pt idx="20">
                  <c:v>45801</c:v>
                </c:pt>
              </c:numCache>
            </c:numRef>
          </c:cat>
          <c:val>
            <c:numRef>
              <c:f>OOCC!$E$3:$E$23</c:f>
              <c:numCache>
                <c:formatCode>0.0%</c:formatCode>
                <c:ptCount val="21"/>
                <c:pt idx="1">
                  <c:v>0</c:v>
                </c:pt>
                <c:pt idx="2">
                  <c:v>3.125E-2</c:v>
                </c:pt>
                <c:pt idx="3">
                  <c:v>6.25E-2</c:v>
                </c:pt>
                <c:pt idx="4">
                  <c:v>7.8125E-2</c:v>
                </c:pt>
                <c:pt idx="5">
                  <c:v>0.109375</c:v>
                </c:pt>
                <c:pt idx="6">
                  <c:v>0.15625</c:v>
                </c:pt>
                <c:pt idx="7">
                  <c:v>0.203125</c:v>
                </c:pt>
                <c:pt idx="8">
                  <c:v>0.25</c:v>
                </c:pt>
                <c:pt idx="9">
                  <c:v>0.296875</c:v>
                </c:pt>
                <c:pt idx="10">
                  <c:v>0.359375</c:v>
                </c:pt>
                <c:pt idx="11">
                  <c:v>0.359375</c:v>
                </c:pt>
                <c:pt idx="12">
                  <c:v>0.40625</c:v>
                </c:pt>
                <c:pt idx="13">
                  <c:v>0.4375</c:v>
                </c:pt>
                <c:pt idx="14">
                  <c:v>0.46875</c:v>
                </c:pt>
                <c:pt idx="15">
                  <c:v>0.484375</c:v>
                </c:pt>
                <c:pt idx="16">
                  <c:v>0.515625</c:v>
                </c:pt>
                <c:pt idx="17">
                  <c:v>0.5625</c:v>
                </c:pt>
                <c:pt idx="18">
                  <c:v>0.578125</c:v>
                </c:pt>
                <c:pt idx="19">
                  <c:v>0.625</c:v>
                </c:pt>
                <c:pt idx="20">
                  <c:v>0.671875</c:v>
                </c:pt>
              </c:numCache>
            </c:numRef>
          </c:val>
          <c:smooth val="0"/>
          <c:extLst>
            <c:ext xmlns:c16="http://schemas.microsoft.com/office/drawing/2014/chart" uri="{C3380CC4-5D6E-409C-BE32-E72D297353CC}">
              <c16:uniqueId val="{00000000-AF08-4A73-AA59-7C03EEF40A48}"/>
            </c:ext>
          </c:extLst>
        </c:ser>
        <c:ser>
          <c:idx val="1"/>
          <c:order val="1"/>
          <c:tx>
            <c:strRef>
              <c:f>OOCC!$O$2</c:f>
              <c:strCache>
                <c:ptCount val="1"/>
                <c:pt idx="0">
                  <c:v>% AVENCE CONSTRUIDO</c:v>
                </c:pt>
              </c:strCache>
            </c:strRef>
          </c:tx>
          <c:spPr>
            <a:ln w="28575" cap="rnd">
              <a:solidFill>
                <a:schemeClr val="accent2"/>
              </a:solidFill>
              <a:round/>
            </a:ln>
            <a:effectLst/>
          </c:spPr>
          <c:marker>
            <c:symbol val="none"/>
          </c:marker>
          <c:cat>
            <c:numRef>
              <c:f>OOCC!$B$3:$B$23</c:f>
              <c:numCache>
                <c:formatCode>m/d/yyyy</c:formatCode>
                <c:ptCount val="21"/>
                <c:pt idx="1">
                  <c:v>45668</c:v>
                </c:pt>
                <c:pt idx="2">
                  <c:v>45675</c:v>
                </c:pt>
                <c:pt idx="3">
                  <c:v>45682</c:v>
                </c:pt>
                <c:pt idx="4">
                  <c:v>45689</c:v>
                </c:pt>
                <c:pt idx="5">
                  <c:v>45696</c:v>
                </c:pt>
                <c:pt idx="6">
                  <c:v>45703</c:v>
                </c:pt>
                <c:pt idx="7">
                  <c:v>45710</c:v>
                </c:pt>
                <c:pt idx="8">
                  <c:v>45717</c:v>
                </c:pt>
                <c:pt idx="9">
                  <c:v>45724</c:v>
                </c:pt>
                <c:pt idx="10">
                  <c:v>45731</c:v>
                </c:pt>
                <c:pt idx="11">
                  <c:v>45738</c:v>
                </c:pt>
                <c:pt idx="12">
                  <c:v>45745</c:v>
                </c:pt>
                <c:pt idx="13">
                  <c:v>45752</c:v>
                </c:pt>
                <c:pt idx="14">
                  <c:v>45759</c:v>
                </c:pt>
                <c:pt idx="15">
                  <c:v>45766</c:v>
                </c:pt>
                <c:pt idx="16">
                  <c:v>45773</c:v>
                </c:pt>
                <c:pt idx="17">
                  <c:v>45780</c:v>
                </c:pt>
                <c:pt idx="18">
                  <c:v>45787</c:v>
                </c:pt>
                <c:pt idx="19">
                  <c:v>45794</c:v>
                </c:pt>
                <c:pt idx="20">
                  <c:v>45801</c:v>
                </c:pt>
              </c:numCache>
            </c:numRef>
          </c:cat>
          <c:val>
            <c:numRef>
              <c:f>OOCC!$O$3:$O$23</c:f>
              <c:numCache>
                <c:formatCode>0.0%</c:formatCode>
                <c:ptCount val="21"/>
                <c:pt idx="1">
                  <c:v>0</c:v>
                </c:pt>
                <c:pt idx="2">
                  <c:v>3.125E-2</c:v>
                </c:pt>
                <c:pt idx="3">
                  <c:v>4.6875E-2</c:v>
                </c:pt>
                <c:pt idx="4">
                  <c:v>6.25E-2</c:v>
                </c:pt>
                <c:pt idx="5">
                  <c:v>7.8125E-2</c:v>
                </c:pt>
                <c:pt idx="6">
                  <c:v>0.125</c:v>
                </c:pt>
                <c:pt idx="7">
                  <c:v>0.1875</c:v>
                </c:pt>
                <c:pt idx="8">
                  <c:v>0.234375</c:v>
                </c:pt>
                <c:pt idx="9">
                  <c:v>0.296875</c:v>
                </c:pt>
                <c:pt idx="10">
                  <c:v>0.375</c:v>
                </c:pt>
                <c:pt idx="11">
                  <c:v>0.4375</c:v>
                </c:pt>
                <c:pt idx="12">
                  <c:v>0.515625</c:v>
                </c:pt>
                <c:pt idx="13">
                  <c:v>0.5625</c:v>
                </c:pt>
                <c:pt idx="14">
                  <c:v>0.59375</c:v>
                </c:pt>
                <c:pt idx="15">
                  <c:v>0.609375</c:v>
                </c:pt>
                <c:pt idx="16">
                  <c:v>0.625</c:v>
                </c:pt>
                <c:pt idx="17">
                  <c:v>0.65625</c:v>
                </c:pt>
                <c:pt idx="18">
                  <c:v>0.6875</c:v>
                </c:pt>
                <c:pt idx="19">
                  <c:v>0.71875</c:v>
                </c:pt>
                <c:pt idx="20">
                  <c:v>0.765625</c:v>
                </c:pt>
              </c:numCache>
            </c:numRef>
          </c:val>
          <c:smooth val="0"/>
          <c:extLst>
            <c:ext xmlns:c16="http://schemas.microsoft.com/office/drawing/2014/chart" uri="{C3380CC4-5D6E-409C-BE32-E72D297353CC}">
              <c16:uniqueId val="{00000001-AF08-4A73-AA59-7C03EEF40A48}"/>
            </c:ext>
          </c:extLst>
        </c:ser>
        <c:dLbls>
          <c:showLegendKey val="0"/>
          <c:showVal val="0"/>
          <c:showCatName val="0"/>
          <c:showSerName val="0"/>
          <c:showPercent val="0"/>
          <c:showBubbleSize val="0"/>
        </c:dLbls>
        <c:smooth val="0"/>
        <c:axId val="717786527"/>
        <c:axId val="717789887"/>
      </c:lineChart>
      <c:dateAx>
        <c:axId val="717786527"/>
        <c:scaling>
          <c:orientation val="minMax"/>
        </c:scaling>
        <c:delete val="0"/>
        <c:axPos val="b"/>
        <c:numFmt formatCode="m/d/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17789887"/>
        <c:crosses val="autoZero"/>
        <c:auto val="1"/>
        <c:lblOffset val="100"/>
        <c:baseTimeUnit val="days"/>
      </c:dateAx>
      <c:valAx>
        <c:axId val="7177898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177865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AVANCE</a:t>
            </a:r>
            <a:r>
              <a:rPr lang="es-CO" baseline="0"/>
              <a:t> MONTAJE LTx PdO (CANT)</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3.711618434230976E-2"/>
          <c:y val="0.24677394555552642"/>
          <c:w val="0.93534415858876985"/>
          <c:h val="0.63835287747715852"/>
        </c:manualLayout>
      </c:layout>
      <c:lineChart>
        <c:grouping val="standard"/>
        <c:varyColors val="0"/>
        <c:ser>
          <c:idx val="0"/>
          <c:order val="0"/>
          <c:tx>
            <c:strRef>
              <c:f>MONTAJE!$D$2</c:f>
              <c:strCache>
                <c:ptCount val="1"/>
                <c:pt idx="0">
                  <c:v>ACUMULADO PROGRAMADO</c:v>
                </c:pt>
              </c:strCache>
            </c:strRef>
          </c:tx>
          <c:spPr>
            <a:ln w="28575" cap="rnd">
              <a:solidFill>
                <a:schemeClr val="accent1"/>
              </a:solidFill>
              <a:round/>
            </a:ln>
            <a:effectLst/>
          </c:spPr>
          <c:marker>
            <c:symbol val="none"/>
          </c:marker>
          <c:cat>
            <c:numRef>
              <c:f>MONTAJE!$B$4:$B$14</c:f>
              <c:numCache>
                <c:formatCode>m/d/yyyy</c:formatCode>
                <c:ptCount val="11"/>
                <c:pt idx="0">
                  <c:v>45801</c:v>
                </c:pt>
                <c:pt idx="1">
                  <c:v>45808</c:v>
                </c:pt>
                <c:pt idx="2">
                  <c:v>45815</c:v>
                </c:pt>
                <c:pt idx="3">
                  <c:v>45822</c:v>
                </c:pt>
                <c:pt idx="4">
                  <c:v>45829</c:v>
                </c:pt>
                <c:pt idx="5">
                  <c:v>45836</c:v>
                </c:pt>
                <c:pt idx="6">
                  <c:v>45843</c:v>
                </c:pt>
                <c:pt idx="7">
                  <c:v>45850</c:v>
                </c:pt>
                <c:pt idx="8">
                  <c:v>45857</c:v>
                </c:pt>
                <c:pt idx="9">
                  <c:v>45864</c:v>
                </c:pt>
                <c:pt idx="10">
                  <c:v>45871</c:v>
                </c:pt>
              </c:numCache>
            </c:numRef>
          </c:cat>
          <c:val>
            <c:numRef>
              <c:f>MONTAJE!$D$4:$D$14</c:f>
              <c:numCache>
                <c:formatCode>General</c:formatCode>
                <c:ptCount val="11"/>
                <c:pt idx="0">
                  <c:v>3</c:v>
                </c:pt>
                <c:pt idx="1">
                  <c:v>7</c:v>
                </c:pt>
                <c:pt idx="2">
                  <c:v>11</c:v>
                </c:pt>
                <c:pt idx="3">
                  <c:v>19</c:v>
                </c:pt>
                <c:pt idx="4">
                  <c:v>28</c:v>
                </c:pt>
                <c:pt idx="5">
                  <c:v>36</c:v>
                </c:pt>
                <c:pt idx="6">
                  <c:v>45</c:v>
                </c:pt>
                <c:pt idx="7">
                  <c:v>52</c:v>
                </c:pt>
                <c:pt idx="8">
                  <c:v>56</c:v>
                </c:pt>
                <c:pt idx="9">
                  <c:v>63</c:v>
                </c:pt>
                <c:pt idx="10">
                  <c:v>64</c:v>
                </c:pt>
              </c:numCache>
            </c:numRef>
          </c:val>
          <c:smooth val="0"/>
          <c:extLst>
            <c:ext xmlns:c16="http://schemas.microsoft.com/office/drawing/2014/chart" uri="{C3380CC4-5D6E-409C-BE32-E72D297353CC}">
              <c16:uniqueId val="{00000000-D7E9-45FF-8774-75DC2BD9752F}"/>
            </c:ext>
          </c:extLst>
        </c:ser>
        <c:ser>
          <c:idx val="1"/>
          <c:order val="1"/>
          <c:tx>
            <c:strRef>
              <c:f>MONTAJE!$P$2</c:f>
              <c:strCache>
                <c:ptCount val="1"/>
                <c:pt idx="0">
                  <c:v>ACUMULADO CONSTRUIDO</c:v>
                </c:pt>
              </c:strCache>
            </c:strRef>
          </c:tx>
          <c:spPr>
            <a:ln w="28575" cap="rnd">
              <a:solidFill>
                <a:schemeClr val="accent2"/>
              </a:solidFill>
              <a:round/>
            </a:ln>
            <a:effectLst/>
          </c:spPr>
          <c:marker>
            <c:symbol val="none"/>
          </c:marker>
          <c:cat>
            <c:numRef>
              <c:f>MONTAJE!$B$4:$B$14</c:f>
              <c:numCache>
                <c:formatCode>m/d/yyyy</c:formatCode>
                <c:ptCount val="11"/>
                <c:pt idx="0">
                  <c:v>45801</c:v>
                </c:pt>
                <c:pt idx="1">
                  <c:v>45808</c:v>
                </c:pt>
                <c:pt idx="2">
                  <c:v>45815</c:v>
                </c:pt>
                <c:pt idx="3">
                  <c:v>45822</c:v>
                </c:pt>
                <c:pt idx="4">
                  <c:v>45829</c:v>
                </c:pt>
                <c:pt idx="5">
                  <c:v>45836</c:v>
                </c:pt>
                <c:pt idx="6">
                  <c:v>45843</c:v>
                </c:pt>
                <c:pt idx="7">
                  <c:v>45850</c:v>
                </c:pt>
                <c:pt idx="8">
                  <c:v>45857</c:v>
                </c:pt>
                <c:pt idx="9">
                  <c:v>45864</c:v>
                </c:pt>
                <c:pt idx="10">
                  <c:v>45871</c:v>
                </c:pt>
              </c:numCache>
            </c:numRef>
          </c:cat>
          <c:val>
            <c:numRef>
              <c:f>MONTAJE!$P$4:$P$14</c:f>
              <c:numCache>
                <c:formatCode>General</c:formatCode>
                <c:ptCount val="11"/>
                <c:pt idx="0">
                  <c:v>3</c:v>
                </c:pt>
                <c:pt idx="1">
                  <c:v>8</c:v>
                </c:pt>
                <c:pt idx="2">
                  <c:v>13</c:v>
                </c:pt>
                <c:pt idx="3">
                  <c:v>21</c:v>
                </c:pt>
                <c:pt idx="4">
                  <c:v>29</c:v>
                </c:pt>
                <c:pt idx="5">
                  <c:v>37</c:v>
                </c:pt>
                <c:pt idx="6">
                  <c:v>45</c:v>
                </c:pt>
                <c:pt idx="7">
                  <c:v>53</c:v>
                </c:pt>
                <c:pt idx="8">
                  <c:v>61</c:v>
                </c:pt>
                <c:pt idx="9">
                  <c:v>64</c:v>
                </c:pt>
              </c:numCache>
            </c:numRef>
          </c:val>
          <c:smooth val="0"/>
          <c:extLst>
            <c:ext xmlns:c16="http://schemas.microsoft.com/office/drawing/2014/chart" uri="{C3380CC4-5D6E-409C-BE32-E72D297353CC}">
              <c16:uniqueId val="{00000001-D7E9-45FF-8774-75DC2BD9752F}"/>
            </c:ext>
          </c:extLst>
        </c:ser>
        <c:dLbls>
          <c:showLegendKey val="0"/>
          <c:showVal val="0"/>
          <c:showCatName val="0"/>
          <c:showSerName val="0"/>
          <c:showPercent val="0"/>
          <c:showBubbleSize val="0"/>
        </c:dLbls>
        <c:smooth val="0"/>
        <c:axId val="801163936"/>
        <c:axId val="801170656"/>
      </c:lineChart>
      <c:dateAx>
        <c:axId val="801163936"/>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01170656"/>
        <c:crosses val="autoZero"/>
        <c:auto val="1"/>
        <c:lblOffset val="100"/>
        <c:baseTimeUnit val="days"/>
        <c:majorUnit val="7"/>
        <c:majorTimeUnit val="days"/>
      </c:dateAx>
      <c:valAx>
        <c:axId val="801170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011639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AVANCE MONTAJE LTx PDO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4.2839606494157405E-2"/>
          <c:y val="8.6635788432683908E-2"/>
          <c:w val="0.94331858898295118"/>
          <c:h val="0.72247639051288182"/>
        </c:manualLayout>
      </c:layout>
      <c:lineChart>
        <c:grouping val="standard"/>
        <c:varyColors val="0"/>
        <c:ser>
          <c:idx val="0"/>
          <c:order val="0"/>
          <c:tx>
            <c:strRef>
              <c:f>MONTAJE!$E$2</c:f>
              <c:strCache>
                <c:ptCount val="1"/>
                <c:pt idx="0">
                  <c:v>% AVENCE PROGRAMADO</c:v>
                </c:pt>
              </c:strCache>
            </c:strRef>
          </c:tx>
          <c:spPr>
            <a:ln w="28575" cap="rnd">
              <a:solidFill>
                <a:schemeClr val="accent1"/>
              </a:solidFill>
              <a:round/>
            </a:ln>
            <a:effectLst/>
          </c:spPr>
          <c:marker>
            <c:symbol val="none"/>
          </c:marker>
          <c:cat>
            <c:numRef>
              <c:f>MONTAJE!$B$4:$B$14</c:f>
              <c:numCache>
                <c:formatCode>m/d/yyyy</c:formatCode>
                <c:ptCount val="11"/>
                <c:pt idx="0">
                  <c:v>45801</c:v>
                </c:pt>
                <c:pt idx="1">
                  <c:v>45808</c:v>
                </c:pt>
                <c:pt idx="2">
                  <c:v>45815</c:v>
                </c:pt>
                <c:pt idx="3">
                  <c:v>45822</c:v>
                </c:pt>
                <c:pt idx="4">
                  <c:v>45829</c:v>
                </c:pt>
                <c:pt idx="5">
                  <c:v>45836</c:v>
                </c:pt>
                <c:pt idx="6">
                  <c:v>45843</c:v>
                </c:pt>
                <c:pt idx="7">
                  <c:v>45850</c:v>
                </c:pt>
                <c:pt idx="8">
                  <c:v>45857</c:v>
                </c:pt>
                <c:pt idx="9">
                  <c:v>45864</c:v>
                </c:pt>
                <c:pt idx="10">
                  <c:v>45871</c:v>
                </c:pt>
              </c:numCache>
            </c:numRef>
          </c:cat>
          <c:val>
            <c:numRef>
              <c:f>MONTAJE!$E$4:$E$14</c:f>
              <c:numCache>
                <c:formatCode>0.0%</c:formatCode>
                <c:ptCount val="11"/>
                <c:pt idx="0">
                  <c:v>4.6875E-2</c:v>
                </c:pt>
                <c:pt idx="1">
                  <c:v>0.109375</c:v>
                </c:pt>
                <c:pt idx="2">
                  <c:v>0.171875</c:v>
                </c:pt>
                <c:pt idx="3">
                  <c:v>0.296875</c:v>
                </c:pt>
                <c:pt idx="4">
                  <c:v>0.4375</c:v>
                </c:pt>
                <c:pt idx="5">
                  <c:v>0.5625</c:v>
                </c:pt>
                <c:pt idx="6">
                  <c:v>0.703125</c:v>
                </c:pt>
                <c:pt idx="7">
                  <c:v>0.8125</c:v>
                </c:pt>
                <c:pt idx="8">
                  <c:v>0.875</c:v>
                </c:pt>
                <c:pt idx="9">
                  <c:v>0.984375</c:v>
                </c:pt>
                <c:pt idx="10">
                  <c:v>1</c:v>
                </c:pt>
              </c:numCache>
            </c:numRef>
          </c:val>
          <c:smooth val="0"/>
          <c:extLst>
            <c:ext xmlns:c16="http://schemas.microsoft.com/office/drawing/2014/chart" uri="{C3380CC4-5D6E-409C-BE32-E72D297353CC}">
              <c16:uniqueId val="{00000000-A079-4A25-AF34-5D2DE575005A}"/>
            </c:ext>
          </c:extLst>
        </c:ser>
        <c:ser>
          <c:idx val="1"/>
          <c:order val="1"/>
          <c:tx>
            <c:strRef>
              <c:f>MONTAJE!$Q$2</c:f>
              <c:strCache>
                <c:ptCount val="1"/>
                <c:pt idx="0">
                  <c:v>% AVENCE CONSTRUIDO</c:v>
                </c:pt>
              </c:strCache>
            </c:strRef>
          </c:tx>
          <c:spPr>
            <a:ln w="28575" cap="rnd">
              <a:solidFill>
                <a:schemeClr val="accent2"/>
              </a:solidFill>
              <a:round/>
            </a:ln>
            <a:effectLst/>
          </c:spPr>
          <c:marker>
            <c:symbol val="none"/>
          </c:marker>
          <c:cat>
            <c:numRef>
              <c:f>MONTAJE!$B$4:$B$14</c:f>
              <c:numCache>
                <c:formatCode>m/d/yyyy</c:formatCode>
                <c:ptCount val="11"/>
                <c:pt idx="0">
                  <c:v>45801</c:v>
                </c:pt>
                <c:pt idx="1">
                  <c:v>45808</c:v>
                </c:pt>
                <c:pt idx="2">
                  <c:v>45815</c:v>
                </c:pt>
                <c:pt idx="3">
                  <c:v>45822</c:v>
                </c:pt>
                <c:pt idx="4">
                  <c:v>45829</c:v>
                </c:pt>
                <c:pt idx="5">
                  <c:v>45836</c:v>
                </c:pt>
                <c:pt idx="6">
                  <c:v>45843</c:v>
                </c:pt>
                <c:pt idx="7">
                  <c:v>45850</c:v>
                </c:pt>
                <c:pt idx="8">
                  <c:v>45857</c:v>
                </c:pt>
                <c:pt idx="9">
                  <c:v>45864</c:v>
                </c:pt>
                <c:pt idx="10">
                  <c:v>45871</c:v>
                </c:pt>
              </c:numCache>
            </c:numRef>
          </c:cat>
          <c:val>
            <c:numRef>
              <c:f>MONTAJE!$Q$4:$Q$14</c:f>
              <c:numCache>
                <c:formatCode>0.0%</c:formatCode>
                <c:ptCount val="11"/>
                <c:pt idx="0">
                  <c:v>4.6875E-2</c:v>
                </c:pt>
                <c:pt idx="1">
                  <c:v>0.125</c:v>
                </c:pt>
                <c:pt idx="2">
                  <c:v>0.203125</c:v>
                </c:pt>
                <c:pt idx="3">
                  <c:v>0.328125</c:v>
                </c:pt>
                <c:pt idx="4">
                  <c:v>0.453125</c:v>
                </c:pt>
                <c:pt idx="5">
                  <c:v>0.578125</c:v>
                </c:pt>
                <c:pt idx="6">
                  <c:v>0.703125</c:v>
                </c:pt>
                <c:pt idx="7">
                  <c:v>0.828125</c:v>
                </c:pt>
                <c:pt idx="8">
                  <c:v>0.953125</c:v>
                </c:pt>
                <c:pt idx="9">
                  <c:v>1</c:v>
                </c:pt>
              </c:numCache>
            </c:numRef>
          </c:val>
          <c:smooth val="0"/>
          <c:extLst>
            <c:ext xmlns:c16="http://schemas.microsoft.com/office/drawing/2014/chart" uri="{C3380CC4-5D6E-409C-BE32-E72D297353CC}">
              <c16:uniqueId val="{00000001-A079-4A25-AF34-5D2DE575005A}"/>
            </c:ext>
          </c:extLst>
        </c:ser>
        <c:dLbls>
          <c:showLegendKey val="0"/>
          <c:showVal val="0"/>
          <c:showCatName val="0"/>
          <c:showSerName val="0"/>
          <c:showPercent val="0"/>
          <c:showBubbleSize val="0"/>
        </c:dLbls>
        <c:smooth val="0"/>
        <c:axId val="717786527"/>
        <c:axId val="717789887"/>
      </c:lineChart>
      <c:dateAx>
        <c:axId val="717786527"/>
        <c:scaling>
          <c:orientation val="minMax"/>
        </c:scaling>
        <c:delete val="0"/>
        <c:axPos val="b"/>
        <c:numFmt formatCode="m/d/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17789887"/>
        <c:crosses val="autoZero"/>
        <c:auto val="1"/>
        <c:lblOffset val="100"/>
        <c:baseTimeUnit val="days"/>
      </c:dateAx>
      <c:valAx>
        <c:axId val="7177898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17786527"/>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9900</xdr:colOff>
      <xdr:row>35</xdr:row>
      <xdr:rowOff>131146</xdr:rowOff>
    </xdr:from>
    <xdr:to>
      <xdr:col>15</xdr:col>
      <xdr:colOff>119620</xdr:colOff>
      <xdr:row>64</xdr:row>
      <xdr:rowOff>77510</xdr:rowOff>
    </xdr:to>
    <xdr:graphicFrame macro="">
      <xdr:nvGraphicFramePr>
        <xdr:cNvPr id="6" name="Gráfico 5">
          <a:extLst>
            <a:ext uri="{FF2B5EF4-FFF2-40B4-BE49-F238E27FC236}">
              <a16:creationId xmlns:a16="http://schemas.microsoft.com/office/drawing/2014/main" id="{192B1DF1-DB34-4CFA-B31F-FD684DC26F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267070</xdr:colOff>
      <xdr:row>35</xdr:row>
      <xdr:rowOff>96982</xdr:rowOff>
    </xdr:from>
    <xdr:to>
      <xdr:col>31</xdr:col>
      <xdr:colOff>0</xdr:colOff>
      <xdr:row>64</xdr:row>
      <xdr:rowOff>69273</xdr:rowOff>
    </xdr:to>
    <xdr:graphicFrame macro="">
      <xdr:nvGraphicFramePr>
        <xdr:cNvPr id="2" name="Gráfico 1">
          <a:extLst>
            <a:ext uri="{FF2B5EF4-FFF2-40B4-BE49-F238E27FC236}">
              <a16:creationId xmlns:a16="http://schemas.microsoft.com/office/drawing/2014/main" id="{DAB2CE2A-C177-B7F4-C290-9082D531CD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54926</xdr:colOff>
      <xdr:row>22</xdr:row>
      <xdr:rowOff>76200</xdr:rowOff>
    </xdr:from>
    <xdr:to>
      <xdr:col>16</xdr:col>
      <xdr:colOff>926647</xdr:colOff>
      <xdr:row>49</xdr:row>
      <xdr:rowOff>126001</xdr:rowOff>
    </xdr:to>
    <xdr:graphicFrame macro="">
      <xdr:nvGraphicFramePr>
        <xdr:cNvPr id="2" name="Gráfico 1">
          <a:extLst>
            <a:ext uri="{FF2B5EF4-FFF2-40B4-BE49-F238E27FC236}">
              <a16:creationId xmlns:a16="http://schemas.microsoft.com/office/drawing/2014/main" id="{A5B8EB9E-87F8-4A57-A306-E2C511D13E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370</xdr:colOff>
      <xdr:row>24</xdr:row>
      <xdr:rowOff>38100</xdr:rowOff>
    </xdr:from>
    <xdr:to>
      <xdr:col>38</xdr:col>
      <xdr:colOff>1898073</xdr:colOff>
      <xdr:row>51</xdr:row>
      <xdr:rowOff>20955</xdr:rowOff>
    </xdr:to>
    <xdr:graphicFrame macro="">
      <xdr:nvGraphicFramePr>
        <xdr:cNvPr id="3" name="Gráfico 2">
          <a:extLst>
            <a:ext uri="{FF2B5EF4-FFF2-40B4-BE49-F238E27FC236}">
              <a16:creationId xmlns:a16="http://schemas.microsoft.com/office/drawing/2014/main" id="{53C5305F-80C1-4505-AFC4-5176DD2DD5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0</xdr:colOff>
      <xdr:row>17</xdr:row>
      <xdr:rowOff>0</xdr:rowOff>
    </xdr:from>
    <xdr:to>
      <xdr:col>18</xdr:col>
      <xdr:colOff>0</xdr:colOff>
      <xdr:row>20</xdr:row>
      <xdr:rowOff>21220</xdr:rowOff>
    </xdr:to>
    <xdr:pic>
      <xdr:nvPicPr>
        <xdr:cNvPr id="2" name="Imagen 1">
          <a:extLst>
            <a:ext uri="{FF2B5EF4-FFF2-40B4-BE49-F238E27FC236}">
              <a16:creationId xmlns:a16="http://schemas.microsoft.com/office/drawing/2014/main" id="{9A8ADAF6-3182-4DFA-8508-A40D56D38BAA}"/>
            </a:ext>
          </a:extLst>
        </xdr:cNvPr>
        <xdr:cNvPicPr>
          <a:picLocks noChangeAspect="1"/>
        </xdr:cNvPicPr>
      </xdr:nvPicPr>
      <xdr:blipFill>
        <a:blip xmlns:r="http://schemas.openxmlformats.org/officeDocument/2006/relationships" r:embed="rId1"/>
        <a:stretch>
          <a:fillRect/>
        </a:stretch>
      </xdr:blipFill>
      <xdr:spPr>
        <a:xfrm>
          <a:off x="13525500" y="3267075"/>
          <a:ext cx="0" cy="56414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662940</xdr:colOff>
      <xdr:row>16</xdr:row>
      <xdr:rowOff>38100</xdr:rowOff>
    </xdr:from>
    <xdr:to>
      <xdr:col>22</xdr:col>
      <xdr:colOff>134161</xdr:colOff>
      <xdr:row>57</xdr:row>
      <xdr:rowOff>22000</xdr:rowOff>
    </xdr:to>
    <xdr:pic>
      <xdr:nvPicPr>
        <xdr:cNvPr id="4" name="Imagen 3">
          <a:extLst>
            <a:ext uri="{FF2B5EF4-FFF2-40B4-BE49-F238E27FC236}">
              <a16:creationId xmlns:a16="http://schemas.microsoft.com/office/drawing/2014/main" id="{17C863C0-CAFA-E735-11E2-42CBEDB7CDF1}"/>
            </a:ext>
          </a:extLst>
        </xdr:cNvPr>
        <xdr:cNvPicPr>
          <a:picLocks noChangeAspect="1"/>
        </xdr:cNvPicPr>
      </xdr:nvPicPr>
      <xdr:blipFill>
        <a:blip xmlns:r="http://schemas.openxmlformats.org/officeDocument/2006/relationships" r:embed="rId1"/>
        <a:stretch>
          <a:fillRect/>
        </a:stretch>
      </xdr:blipFill>
      <xdr:spPr>
        <a:xfrm>
          <a:off x="11833860" y="5730240"/>
          <a:ext cx="5811061" cy="7487695"/>
        </a:xfrm>
        <a:prstGeom prst="rect">
          <a:avLst/>
        </a:prstGeom>
      </xdr:spPr>
    </xdr:pic>
    <xdr:clientData/>
  </xdr:twoCellAnchor>
  <xdr:twoCellAnchor editAs="oneCell">
    <xdr:from>
      <xdr:col>15</xdr:col>
      <xdr:colOff>1585</xdr:colOff>
      <xdr:row>42</xdr:row>
      <xdr:rowOff>25400</xdr:rowOff>
    </xdr:from>
    <xdr:to>
      <xdr:col>18</xdr:col>
      <xdr:colOff>152513</xdr:colOff>
      <xdr:row>54</xdr:row>
      <xdr:rowOff>59691</xdr:rowOff>
    </xdr:to>
    <xdr:pic>
      <xdr:nvPicPr>
        <xdr:cNvPr id="5" name="Imagen 4">
          <a:extLst>
            <a:ext uri="{FF2B5EF4-FFF2-40B4-BE49-F238E27FC236}">
              <a16:creationId xmlns:a16="http://schemas.microsoft.com/office/drawing/2014/main" id="{B9744B05-340F-FBA0-58BE-CF48E48B92C4}"/>
            </a:ext>
          </a:extLst>
        </xdr:cNvPr>
        <xdr:cNvPicPr>
          <a:picLocks noChangeAspect="1"/>
        </xdr:cNvPicPr>
      </xdr:nvPicPr>
      <xdr:blipFill>
        <a:blip xmlns:r="http://schemas.openxmlformats.org/officeDocument/2006/relationships" r:embed="rId2"/>
        <a:stretch>
          <a:fillRect/>
        </a:stretch>
      </xdr:blipFill>
      <xdr:spPr>
        <a:xfrm>
          <a:off x="11979273" y="10479088"/>
          <a:ext cx="2532177" cy="222885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PC/Documents/CONTRATO%20TULCAN%20EJECUCI&#211;N/LICO%20PUGA%20NACCSA%20ASOCIADO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sup 2"/>
      <sheetName val="desagregacion"/>
      <sheetName val="Cronograma"/>
      <sheetName val="Apu1-33"/>
      <sheetName val="Apu34-66"/>
      <sheetName val="Apu67-99"/>
      <sheetName val="Apu100-129"/>
      <sheetName val="MO F16"/>
      <sheetName val="Ind F17"/>
      <sheetName val="Eq F18"/>
      <sheetName val="Mat F19"/>
      <sheetName val="Mo"/>
      <sheetName val="Transp"/>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0">
          <cell r="A10">
            <v>1</v>
          </cell>
          <cell r="B10" t="str">
            <v>Amoladora</v>
          </cell>
          <cell r="D10">
            <v>0.26249999999999996</v>
          </cell>
          <cell r="E10">
            <v>0.26249999999999996</v>
          </cell>
          <cell r="F10">
            <v>0.75</v>
          </cell>
          <cell r="G10">
            <v>0.22500000000000009</v>
          </cell>
          <cell r="H10">
            <v>1.5</v>
          </cell>
        </row>
        <row r="11">
          <cell r="A11">
            <v>2</v>
          </cell>
          <cell r="B11" t="str">
            <v>Andamios livianos</v>
          </cell>
          <cell r="D11">
            <v>0.17499999999999999</v>
          </cell>
          <cell r="E11">
            <v>0.17499999999999999</v>
          </cell>
          <cell r="F11">
            <v>0.5</v>
          </cell>
          <cell r="G11">
            <v>0.15000000000000002</v>
          </cell>
          <cell r="H11">
            <v>1</v>
          </cell>
        </row>
        <row r="12">
          <cell r="A12">
            <v>3</v>
          </cell>
          <cell r="B12" t="str">
            <v>Bomba de Agua de 3"</v>
          </cell>
          <cell r="C12">
            <v>0.3</v>
          </cell>
          <cell r="D12">
            <v>0.35</v>
          </cell>
          <cell r="E12">
            <v>0.35</v>
          </cell>
          <cell r="F12">
            <v>1</v>
          </cell>
          <cell r="H12">
            <v>2</v>
          </cell>
        </row>
        <row r="13">
          <cell r="A13">
            <v>4</v>
          </cell>
          <cell r="B13" t="str">
            <v>Bomba de agua de 6 ''</v>
          </cell>
          <cell r="C13">
            <v>0.375</v>
          </cell>
          <cell r="D13">
            <v>0.4375</v>
          </cell>
          <cell r="E13">
            <v>0.4375</v>
          </cell>
          <cell r="F13">
            <v>1.25</v>
          </cell>
          <cell r="H13">
            <v>2.5</v>
          </cell>
        </row>
        <row r="14">
          <cell r="A14">
            <v>5</v>
          </cell>
          <cell r="B14" t="str">
            <v>Bomba Impulsora de Hormigon</v>
          </cell>
          <cell r="C14">
            <v>2.6999999999999997</v>
          </cell>
          <cell r="D14">
            <v>3.15</v>
          </cell>
          <cell r="E14">
            <v>3.15</v>
          </cell>
          <cell r="F14">
            <v>9</v>
          </cell>
          <cell r="H14">
            <v>18</v>
          </cell>
        </row>
        <row r="15">
          <cell r="A15">
            <v>6</v>
          </cell>
          <cell r="B15" t="str">
            <v>Bomba Mezcladora de Bentonita</v>
          </cell>
          <cell r="C15">
            <v>1.7999999999999998</v>
          </cell>
          <cell r="D15">
            <v>2.0999999999999996</v>
          </cell>
          <cell r="E15">
            <v>2.0999999999999996</v>
          </cell>
          <cell r="F15">
            <v>6</v>
          </cell>
          <cell r="H15">
            <v>12</v>
          </cell>
        </row>
        <row r="16">
          <cell r="A16">
            <v>7</v>
          </cell>
          <cell r="B16" t="str">
            <v>Camion cisterna</v>
          </cell>
          <cell r="C16">
            <v>4.8</v>
          </cell>
          <cell r="D16">
            <v>5.6</v>
          </cell>
          <cell r="E16">
            <v>5.6</v>
          </cell>
          <cell r="F16">
            <v>16</v>
          </cell>
          <cell r="H16">
            <v>32</v>
          </cell>
        </row>
        <row r="17">
          <cell r="A17">
            <v>8</v>
          </cell>
          <cell r="B17" t="str">
            <v>Camión Cisterna 10000 gals</v>
          </cell>
          <cell r="C17">
            <v>4.95</v>
          </cell>
          <cell r="D17">
            <v>5.7749999999999995</v>
          </cell>
          <cell r="E17">
            <v>5.7750000000000004</v>
          </cell>
          <cell r="F17">
            <v>16.5</v>
          </cell>
          <cell r="H17">
            <v>33</v>
          </cell>
        </row>
        <row r="18">
          <cell r="A18">
            <v>9</v>
          </cell>
          <cell r="B18" t="str">
            <v>Camión plataforma</v>
          </cell>
          <cell r="C18">
            <v>7.8</v>
          </cell>
          <cell r="D18">
            <v>9.1</v>
          </cell>
          <cell r="E18">
            <v>9.1</v>
          </cell>
          <cell r="F18">
            <v>26</v>
          </cell>
          <cell r="H18">
            <v>52</v>
          </cell>
        </row>
        <row r="19">
          <cell r="A19">
            <v>10</v>
          </cell>
          <cell r="B19" t="str">
            <v xml:space="preserve">Cargadora Frontal </v>
          </cell>
          <cell r="C19">
            <v>6.75</v>
          </cell>
          <cell r="D19">
            <v>7.8749999999999991</v>
          </cell>
          <cell r="E19">
            <v>7.875</v>
          </cell>
          <cell r="F19">
            <v>22.5</v>
          </cell>
          <cell r="H19">
            <v>45</v>
          </cell>
        </row>
        <row r="20">
          <cell r="A20">
            <v>11</v>
          </cell>
          <cell r="B20" t="str">
            <v>Compactador Manual</v>
          </cell>
          <cell r="C20">
            <v>0.6</v>
          </cell>
          <cell r="D20">
            <v>0.7</v>
          </cell>
          <cell r="E20">
            <v>0.7</v>
          </cell>
          <cell r="F20">
            <v>2</v>
          </cell>
          <cell r="H20">
            <v>4</v>
          </cell>
        </row>
        <row r="21">
          <cell r="A21">
            <v>12</v>
          </cell>
          <cell r="B21" t="str">
            <v>Vibrocompactador</v>
          </cell>
          <cell r="C21">
            <v>0.6</v>
          </cell>
          <cell r="D21">
            <v>0.7</v>
          </cell>
          <cell r="E21">
            <v>0.7</v>
          </cell>
          <cell r="F21">
            <v>2</v>
          </cell>
          <cell r="H21">
            <v>4</v>
          </cell>
        </row>
        <row r="22">
          <cell r="A22">
            <v>13</v>
          </cell>
          <cell r="B22" t="str">
            <v>Compresor y equipo de pintura</v>
          </cell>
          <cell r="C22">
            <v>0.3</v>
          </cell>
          <cell r="D22">
            <v>0.35</v>
          </cell>
          <cell r="E22">
            <v>0.35</v>
          </cell>
          <cell r="F22">
            <v>1</v>
          </cell>
          <cell r="H22">
            <v>2</v>
          </cell>
        </row>
        <row r="23">
          <cell r="A23">
            <v>14</v>
          </cell>
          <cell r="B23" t="str">
            <v>Compresor de Aire 200 CFM</v>
          </cell>
          <cell r="C23">
            <v>4.5</v>
          </cell>
          <cell r="D23">
            <v>5.25</v>
          </cell>
          <cell r="E23">
            <v>5.25</v>
          </cell>
          <cell r="F23">
            <v>15</v>
          </cell>
          <cell r="H23">
            <v>30</v>
          </cell>
        </row>
        <row r="24">
          <cell r="A24">
            <v>15</v>
          </cell>
          <cell r="B24" t="str">
            <v>Compresor de Aire 280</v>
          </cell>
          <cell r="C24">
            <v>3</v>
          </cell>
          <cell r="D24">
            <v>3.5</v>
          </cell>
          <cell r="E24">
            <v>3.5</v>
          </cell>
          <cell r="F24">
            <v>10</v>
          </cell>
          <cell r="H24">
            <v>20</v>
          </cell>
        </row>
        <row r="25">
          <cell r="A25">
            <v>16</v>
          </cell>
          <cell r="B25" t="str">
            <v>Concretera</v>
          </cell>
          <cell r="C25">
            <v>0.75</v>
          </cell>
          <cell r="D25">
            <v>0.875</v>
          </cell>
          <cell r="E25">
            <v>0.875</v>
          </cell>
          <cell r="F25">
            <v>2.5</v>
          </cell>
          <cell r="H25">
            <v>5</v>
          </cell>
        </row>
        <row r="26">
          <cell r="A26">
            <v>17</v>
          </cell>
          <cell r="B26" t="str">
            <v>Cortadora de Hierro</v>
          </cell>
          <cell r="D26">
            <v>0.17499999999999999</v>
          </cell>
          <cell r="E26">
            <v>0.17499999999999999</v>
          </cell>
          <cell r="F26">
            <v>0.5</v>
          </cell>
          <cell r="G26">
            <v>0.15000000000000002</v>
          </cell>
          <cell r="H26">
            <v>1</v>
          </cell>
        </row>
        <row r="27">
          <cell r="A27">
            <v>18</v>
          </cell>
          <cell r="B27" t="str">
            <v>Cortadora-dobladora</v>
          </cell>
          <cell r="D27">
            <v>0.17499999999999999</v>
          </cell>
          <cell r="E27">
            <v>0.17499999999999999</v>
          </cell>
          <cell r="F27">
            <v>0.5</v>
          </cell>
          <cell r="G27">
            <v>0.15000000000000002</v>
          </cell>
          <cell r="H27">
            <v>1</v>
          </cell>
        </row>
        <row r="28">
          <cell r="A28">
            <v>19</v>
          </cell>
          <cell r="B28" t="str">
            <v>Dist. Lechada Asfal. Slurry-Seal</v>
          </cell>
          <cell r="C28">
            <v>45</v>
          </cell>
          <cell r="D28">
            <v>52.5</v>
          </cell>
          <cell r="E28">
            <v>52.5</v>
          </cell>
          <cell r="F28">
            <v>150</v>
          </cell>
          <cell r="H28">
            <v>300</v>
          </cell>
        </row>
        <row r="29">
          <cell r="A29">
            <v>20</v>
          </cell>
          <cell r="B29" t="str">
            <v>Distribuidor de aridos</v>
          </cell>
          <cell r="C29">
            <v>6.3</v>
          </cell>
          <cell r="D29">
            <v>7.35</v>
          </cell>
          <cell r="E29">
            <v>7.35</v>
          </cell>
          <cell r="F29">
            <v>21</v>
          </cell>
          <cell r="H29">
            <v>42</v>
          </cell>
        </row>
        <row r="30">
          <cell r="A30">
            <v>21</v>
          </cell>
          <cell r="B30" t="str">
            <v>Distribuidor de asfalto</v>
          </cell>
          <cell r="C30">
            <v>7.5</v>
          </cell>
          <cell r="D30">
            <v>8.75</v>
          </cell>
          <cell r="E30">
            <v>8.75</v>
          </cell>
          <cell r="F30">
            <v>25</v>
          </cell>
          <cell r="H30">
            <v>50</v>
          </cell>
        </row>
        <row r="31">
          <cell r="A31">
            <v>22</v>
          </cell>
          <cell r="B31" t="str">
            <v>Elevador</v>
          </cell>
          <cell r="C31">
            <v>0.75</v>
          </cell>
          <cell r="D31">
            <v>0.875</v>
          </cell>
          <cell r="E31">
            <v>0.875</v>
          </cell>
          <cell r="F31">
            <v>2.5</v>
          </cell>
          <cell r="H31">
            <v>5</v>
          </cell>
        </row>
        <row r="32">
          <cell r="A32">
            <v>23</v>
          </cell>
          <cell r="B32" t="str">
            <v>Equipo de topografía (Estacion Total)</v>
          </cell>
          <cell r="D32">
            <v>1.75</v>
          </cell>
          <cell r="E32">
            <v>1.75</v>
          </cell>
          <cell r="F32">
            <v>5</v>
          </cell>
          <cell r="G32">
            <v>1.5</v>
          </cell>
          <cell r="H32">
            <v>10</v>
          </cell>
        </row>
        <row r="33">
          <cell r="A33">
            <v>24</v>
          </cell>
          <cell r="B33" t="str">
            <v>Equipo Fab. De Señales Horizontales</v>
          </cell>
          <cell r="C33">
            <v>2.6999999999999997</v>
          </cell>
          <cell r="D33">
            <v>3.15</v>
          </cell>
          <cell r="E33">
            <v>3.15</v>
          </cell>
          <cell r="F33">
            <v>9</v>
          </cell>
          <cell r="H33">
            <v>18</v>
          </cell>
        </row>
        <row r="34">
          <cell r="A34">
            <v>25</v>
          </cell>
          <cell r="B34" t="str">
            <v>Equipo fresador de asfalto</v>
          </cell>
          <cell r="C34">
            <v>23.7</v>
          </cell>
          <cell r="D34">
            <v>27.65</v>
          </cell>
          <cell r="E34">
            <v>27.65</v>
          </cell>
          <cell r="F34">
            <v>79</v>
          </cell>
          <cell r="H34">
            <v>158</v>
          </cell>
        </row>
        <row r="35">
          <cell r="A35">
            <v>26</v>
          </cell>
          <cell r="B35" t="str">
            <v xml:space="preserve">Equipo Oxi-corte </v>
          </cell>
          <cell r="D35">
            <v>1.4</v>
          </cell>
          <cell r="E35">
            <v>1.4</v>
          </cell>
          <cell r="F35">
            <v>4</v>
          </cell>
          <cell r="G35">
            <v>1.2000000000000002</v>
          </cell>
          <cell r="H35">
            <v>8</v>
          </cell>
        </row>
        <row r="36">
          <cell r="A36">
            <v>27</v>
          </cell>
          <cell r="B36" t="str">
            <v>Escoba autopropulsada</v>
          </cell>
          <cell r="C36">
            <v>2.4</v>
          </cell>
          <cell r="D36">
            <v>2.8</v>
          </cell>
          <cell r="E36">
            <v>2.8</v>
          </cell>
          <cell r="F36">
            <v>8</v>
          </cell>
          <cell r="H36">
            <v>16</v>
          </cell>
        </row>
        <row r="37">
          <cell r="A37">
            <v>28</v>
          </cell>
          <cell r="B37" t="str">
            <v>Cortadora de asfalto</v>
          </cell>
          <cell r="C37">
            <v>0.6</v>
          </cell>
          <cell r="D37">
            <v>0.7</v>
          </cell>
          <cell r="E37">
            <v>0.7</v>
          </cell>
          <cell r="F37">
            <v>2</v>
          </cell>
          <cell r="H37">
            <v>4</v>
          </cell>
        </row>
        <row r="38">
          <cell r="A38">
            <v>29</v>
          </cell>
          <cell r="B38" t="str">
            <v>Retroexcavadora (Gallineta)</v>
          </cell>
          <cell r="C38">
            <v>5.25</v>
          </cell>
          <cell r="D38">
            <v>6.125</v>
          </cell>
          <cell r="E38">
            <v>6.125</v>
          </cell>
          <cell r="F38">
            <v>17.5</v>
          </cell>
          <cell r="H38">
            <v>35</v>
          </cell>
        </row>
        <row r="39">
          <cell r="A39">
            <v>30</v>
          </cell>
          <cell r="B39" t="str">
            <v>Alisador de pisos</v>
          </cell>
          <cell r="C39">
            <v>0.75</v>
          </cell>
          <cell r="D39">
            <v>0.875</v>
          </cell>
          <cell r="E39">
            <v>0.875</v>
          </cell>
          <cell r="F39">
            <v>2.5</v>
          </cell>
          <cell r="H39">
            <v>5</v>
          </cell>
        </row>
        <row r="40">
          <cell r="A40">
            <v>31</v>
          </cell>
          <cell r="C40">
            <v>0</v>
          </cell>
          <cell r="D40">
            <v>0</v>
          </cell>
          <cell r="E40">
            <v>0</v>
          </cell>
          <cell r="F40">
            <v>0</v>
          </cell>
          <cell r="H40">
            <v>0</v>
          </cell>
        </row>
        <row r="41">
          <cell r="A41">
            <v>32</v>
          </cell>
          <cell r="B41" t="str">
            <v xml:space="preserve">Excavadora </v>
          </cell>
          <cell r="C41">
            <v>7.5</v>
          </cell>
          <cell r="D41">
            <v>8.75</v>
          </cell>
          <cell r="E41">
            <v>8.75</v>
          </cell>
          <cell r="F41">
            <v>25</v>
          </cell>
          <cell r="H41">
            <v>50</v>
          </cell>
        </row>
        <row r="42">
          <cell r="A42">
            <v>33</v>
          </cell>
          <cell r="B42" t="str">
            <v>Finisher</v>
          </cell>
          <cell r="C42">
            <v>16.5</v>
          </cell>
          <cell r="D42">
            <v>19.25</v>
          </cell>
          <cell r="E42">
            <v>19.25</v>
          </cell>
          <cell r="F42">
            <v>55</v>
          </cell>
          <cell r="H42">
            <v>110</v>
          </cell>
        </row>
        <row r="43">
          <cell r="A43">
            <v>34</v>
          </cell>
          <cell r="B43" t="str">
            <v>Grúa Convertible (13T)</v>
          </cell>
          <cell r="C43">
            <v>5.25</v>
          </cell>
          <cell r="D43">
            <v>6.125</v>
          </cell>
          <cell r="E43">
            <v>6.125</v>
          </cell>
          <cell r="F43">
            <v>17.5</v>
          </cell>
          <cell r="H43">
            <v>35</v>
          </cell>
        </row>
        <row r="44">
          <cell r="A44">
            <v>35</v>
          </cell>
          <cell r="B44" t="str">
            <v>Grúa Convertible (25T)</v>
          </cell>
          <cell r="C44">
            <v>8.25</v>
          </cell>
          <cell r="D44">
            <v>9.625</v>
          </cell>
          <cell r="E44">
            <v>9.625</v>
          </cell>
          <cell r="F44">
            <v>27.5</v>
          </cell>
          <cell r="H44">
            <v>55</v>
          </cell>
        </row>
        <row r="45">
          <cell r="A45">
            <v>36</v>
          </cell>
          <cell r="B45" t="str">
            <v>Herramientas Menores (Mano de Obra)</v>
          </cell>
          <cell r="H45">
            <v>0.05</v>
          </cell>
        </row>
        <row r="46">
          <cell r="A46">
            <v>37</v>
          </cell>
          <cell r="B46" t="str">
            <v>Hinca Pilotes</v>
          </cell>
          <cell r="C46">
            <v>11.25</v>
          </cell>
          <cell r="D46">
            <v>13.125</v>
          </cell>
          <cell r="E46">
            <v>13.125</v>
          </cell>
          <cell r="F46">
            <v>37.5</v>
          </cell>
          <cell r="H46">
            <v>75</v>
          </cell>
        </row>
        <row r="47">
          <cell r="A47">
            <v>38</v>
          </cell>
          <cell r="B47" t="str">
            <v>Hormigonera 1 saco</v>
          </cell>
          <cell r="C47">
            <v>0.52500000000000002</v>
          </cell>
          <cell r="D47">
            <v>0.61249999999999993</v>
          </cell>
          <cell r="E47">
            <v>0.61250000000000004</v>
          </cell>
          <cell r="F47">
            <v>1.75</v>
          </cell>
          <cell r="H47">
            <v>3.5</v>
          </cell>
        </row>
        <row r="48">
          <cell r="A48">
            <v>39</v>
          </cell>
          <cell r="B48" t="str">
            <v>Compresor y Martillo Neumático</v>
          </cell>
          <cell r="C48">
            <v>3.75</v>
          </cell>
          <cell r="D48">
            <v>4.375</v>
          </cell>
          <cell r="E48">
            <v>4.375</v>
          </cell>
          <cell r="F48">
            <v>12.5</v>
          </cell>
          <cell r="H48">
            <v>25</v>
          </cell>
        </row>
        <row r="49">
          <cell r="A49">
            <v>40</v>
          </cell>
          <cell r="B49" t="str">
            <v>Minicargadora con Aditamento</v>
          </cell>
          <cell r="C49">
            <v>3.75</v>
          </cell>
          <cell r="D49">
            <v>4.375</v>
          </cell>
          <cell r="E49">
            <v>4.375</v>
          </cell>
          <cell r="F49">
            <v>12.5</v>
          </cell>
          <cell r="H49">
            <v>25</v>
          </cell>
        </row>
        <row r="50">
          <cell r="A50">
            <v>41</v>
          </cell>
          <cell r="B50" t="str">
            <v>Mixer</v>
          </cell>
          <cell r="C50">
            <v>4.2</v>
          </cell>
          <cell r="D50">
            <v>4.8999999999999995</v>
          </cell>
          <cell r="E50">
            <v>4.9000000000000004</v>
          </cell>
          <cell r="F50">
            <v>14</v>
          </cell>
          <cell r="H50">
            <v>28</v>
          </cell>
        </row>
        <row r="51">
          <cell r="A51">
            <v>42</v>
          </cell>
          <cell r="B51" t="str">
            <v>Motoniveladora</v>
          </cell>
          <cell r="C51">
            <v>7.5</v>
          </cell>
          <cell r="D51">
            <v>8.75</v>
          </cell>
          <cell r="E51">
            <v>8.75</v>
          </cell>
          <cell r="F51">
            <v>25</v>
          </cell>
          <cell r="H51">
            <v>50</v>
          </cell>
        </row>
        <row r="52">
          <cell r="A52">
            <v>43</v>
          </cell>
          <cell r="B52" t="str">
            <v>Motoniveladora</v>
          </cell>
          <cell r="C52">
            <v>23.7</v>
          </cell>
          <cell r="D52">
            <v>27.65</v>
          </cell>
          <cell r="E52">
            <v>27.65</v>
          </cell>
          <cell r="F52">
            <v>79</v>
          </cell>
          <cell r="H52">
            <v>158</v>
          </cell>
        </row>
        <row r="53">
          <cell r="A53">
            <v>44</v>
          </cell>
          <cell r="B53" t="str">
            <v>Motosierra</v>
          </cell>
          <cell r="C53">
            <v>0.3</v>
          </cell>
          <cell r="D53">
            <v>0.35</v>
          </cell>
          <cell r="E53">
            <v>0.35</v>
          </cell>
          <cell r="F53">
            <v>1</v>
          </cell>
          <cell r="H53">
            <v>2</v>
          </cell>
        </row>
        <row r="54">
          <cell r="A54">
            <v>45</v>
          </cell>
          <cell r="B54" t="str">
            <v xml:space="preserve">Mototrailla </v>
          </cell>
          <cell r="C54">
            <v>13.5</v>
          </cell>
          <cell r="D54">
            <v>15.749999999999998</v>
          </cell>
          <cell r="E54">
            <v>15.75</v>
          </cell>
          <cell r="F54">
            <v>45</v>
          </cell>
          <cell r="H54">
            <v>90</v>
          </cell>
        </row>
        <row r="55">
          <cell r="A55">
            <v>46</v>
          </cell>
          <cell r="B55" t="str">
            <v>Nivel</v>
          </cell>
          <cell r="D55">
            <v>0.17499999999999999</v>
          </cell>
          <cell r="E55">
            <v>0.17499999999999999</v>
          </cell>
          <cell r="F55">
            <v>0.5</v>
          </cell>
          <cell r="G55">
            <v>0.15000000000000002</v>
          </cell>
          <cell r="H55">
            <v>1</v>
          </cell>
        </row>
        <row r="56">
          <cell r="A56">
            <v>47</v>
          </cell>
          <cell r="B56" t="str">
            <v>Perforadora Rotativa</v>
          </cell>
          <cell r="C56">
            <v>7.35</v>
          </cell>
          <cell r="D56">
            <v>8.5749999999999993</v>
          </cell>
          <cell r="E56">
            <v>8.5749999999999993</v>
          </cell>
          <cell r="F56">
            <v>24.5</v>
          </cell>
          <cell r="H56">
            <v>49</v>
          </cell>
        </row>
        <row r="57">
          <cell r="A57">
            <v>48</v>
          </cell>
          <cell r="B57" t="str">
            <v>Pison de 40 Lbs.</v>
          </cell>
          <cell r="C57">
            <v>0.44999999999999996</v>
          </cell>
          <cell r="D57">
            <v>0.52499999999999991</v>
          </cell>
          <cell r="E57">
            <v>0.52499999999999991</v>
          </cell>
          <cell r="F57">
            <v>1.5</v>
          </cell>
          <cell r="H57">
            <v>3</v>
          </cell>
        </row>
        <row r="58">
          <cell r="A58">
            <v>49</v>
          </cell>
          <cell r="B58" t="str">
            <v>Planta asfaltica</v>
          </cell>
          <cell r="C58">
            <v>18</v>
          </cell>
          <cell r="D58">
            <v>21</v>
          </cell>
          <cell r="E58">
            <v>21</v>
          </cell>
          <cell r="F58">
            <v>60</v>
          </cell>
          <cell r="H58">
            <v>120</v>
          </cell>
        </row>
        <row r="59">
          <cell r="A59">
            <v>50</v>
          </cell>
          <cell r="B59" t="str">
            <v>Planta dosificadora agregado</v>
          </cell>
          <cell r="C59">
            <v>18</v>
          </cell>
          <cell r="D59">
            <v>21</v>
          </cell>
          <cell r="E59">
            <v>21</v>
          </cell>
          <cell r="F59">
            <v>60</v>
          </cell>
          <cell r="H59">
            <v>120</v>
          </cell>
        </row>
        <row r="60">
          <cell r="A60">
            <v>51</v>
          </cell>
          <cell r="B60" t="str">
            <v>Planta Hormigon</v>
          </cell>
          <cell r="C60">
            <v>18.45</v>
          </cell>
          <cell r="D60">
            <v>21.524999999999999</v>
          </cell>
          <cell r="E60">
            <v>21.524999999999999</v>
          </cell>
          <cell r="F60">
            <v>61.5</v>
          </cell>
          <cell r="H60">
            <v>123</v>
          </cell>
        </row>
        <row r="61">
          <cell r="A61">
            <v>52</v>
          </cell>
          <cell r="B61" t="str">
            <v>Fresadora</v>
          </cell>
          <cell r="C61">
            <v>10.199999999999999</v>
          </cell>
          <cell r="D61">
            <v>11.899999999999999</v>
          </cell>
          <cell r="E61">
            <v>11.899999999999999</v>
          </cell>
          <cell r="F61">
            <v>34</v>
          </cell>
          <cell r="H61">
            <v>68</v>
          </cell>
        </row>
        <row r="62">
          <cell r="A62">
            <v>53</v>
          </cell>
          <cell r="B62" t="str">
            <v>Retroexcavadora</v>
          </cell>
          <cell r="C62">
            <v>5.25</v>
          </cell>
          <cell r="D62">
            <v>6.125</v>
          </cell>
          <cell r="E62">
            <v>6.125</v>
          </cell>
          <cell r="F62">
            <v>17.5</v>
          </cell>
          <cell r="H62">
            <v>35</v>
          </cell>
        </row>
        <row r="63">
          <cell r="A63">
            <v>54</v>
          </cell>
          <cell r="B63" t="str">
            <v>Rodillo manual</v>
          </cell>
          <cell r="C63">
            <v>1.7999999999999998</v>
          </cell>
          <cell r="D63">
            <v>2.0999999999999996</v>
          </cell>
          <cell r="E63">
            <v>2.0999999999999996</v>
          </cell>
          <cell r="F63">
            <v>6</v>
          </cell>
          <cell r="H63">
            <v>12</v>
          </cell>
        </row>
        <row r="64">
          <cell r="A64">
            <v>55</v>
          </cell>
          <cell r="B64" t="str">
            <v>Rodillo neumatico</v>
          </cell>
          <cell r="C64">
            <v>5.25</v>
          </cell>
          <cell r="D64">
            <v>6.125</v>
          </cell>
          <cell r="E64">
            <v>6.125</v>
          </cell>
          <cell r="F64">
            <v>17.5</v>
          </cell>
          <cell r="H64">
            <v>35</v>
          </cell>
        </row>
        <row r="65">
          <cell r="A65">
            <v>56</v>
          </cell>
          <cell r="B65" t="str">
            <v>Rodillo pata de cabra</v>
          </cell>
          <cell r="C65">
            <v>5.25</v>
          </cell>
          <cell r="D65">
            <v>6.125</v>
          </cell>
          <cell r="E65">
            <v>6.125</v>
          </cell>
          <cell r="F65">
            <v>17.5</v>
          </cell>
          <cell r="H65">
            <v>35</v>
          </cell>
        </row>
        <row r="66">
          <cell r="A66">
            <v>57</v>
          </cell>
          <cell r="B66" t="str">
            <v>Rodillo Vibratorio</v>
          </cell>
          <cell r="C66">
            <v>5.7</v>
          </cell>
          <cell r="D66">
            <v>6.6499999999999995</v>
          </cell>
          <cell r="E66">
            <v>6.65</v>
          </cell>
          <cell r="F66">
            <v>19</v>
          </cell>
          <cell r="H66">
            <v>38</v>
          </cell>
        </row>
        <row r="67">
          <cell r="A67">
            <v>58</v>
          </cell>
          <cell r="B67" t="str">
            <v>Rodillo tandem asfalto</v>
          </cell>
          <cell r="C67">
            <v>4.5</v>
          </cell>
          <cell r="D67">
            <v>5.25</v>
          </cell>
          <cell r="E67">
            <v>5.25</v>
          </cell>
          <cell r="F67">
            <v>15</v>
          </cell>
          <cell r="H67">
            <v>30</v>
          </cell>
        </row>
        <row r="68">
          <cell r="A68">
            <v>59</v>
          </cell>
          <cell r="B68" t="str">
            <v>Rodilo Vbr. PT</v>
          </cell>
          <cell r="C68">
            <v>6.75</v>
          </cell>
          <cell r="D68">
            <v>7.8749999999999991</v>
          </cell>
          <cell r="E68">
            <v>7.875</v>
          </cell>
          <cell r="F68">
            <v>22.5</v>
          </cell>
          <cell r="H68">
            <v>45</v>
          </cell>
        </row>
        <row r="69">
          <cell r="A69">
            <v>60</v>
          </cell>
          <cell r="B69" t="str">
            <v>Rompe pavimento ( mini fresadora)</v>
          </cell>
          <cell r="C69">
            <v>3</v>
          </cell>
          <cell r="D69">
            <v>3.5</v>
          </cell>
          <cell r="E69">
            <v>3.5</v>
          </cell>
          <cell r="F69">
            <v>10</v>
          </cell>
          <cell r="H69">
            <v>20</v>
          </cell>
        </row>
        <row r="70">
          <cell r="A70">
            <v>61</v>
          </cell>
          <cell r="B70" t="str">
            <v>Rompe Pavimentos (neumatico)</v>
          </cell>
          <cell r="C70">
            <v>6.75</v>
          </cell>
          <cell r="D70">
            <v>7.8749999999999991</v>
          </cell>
          <cell r="E70">
            <v>7.875</v>
          </cell>
          <cell r="F70">
            <v>22.5</v>
          </cell>
          <cell r="H70">
            <v>45</v>
          </cell>
        </row>
        <row r="71">
          <cell r="A71">
            <v>62</v>
          </cell>
          <cell r="B71" t="str">
            <v xml:space="preserve">Soldadora Eléctrica </v>
          </cell>
          <cell r="D71">
            <v>0.7</v>
          </cell>
          <cell r="E71">
            <v>0.7</v>
          </cell>
          <cell r="F71">
            <v>2</v>
          </cell>
          <cell r="G71">
            <v>0.60000000000000009</v>
          </cell>
          <cell r="H71">
            <v>4</v>
          </cell>
        </row>
        <row r="72">
          <cell r="A72">
            <v>63</v>
          </cell>
          <cell r="B72" t="str">
            <v>Tanquero</v>
          </cell>
          <cell r="C72">
            <v>3.75</v>
          </cell>
          <cell r="D72">
            <v>4.375</v>
          </cell>
          <cell r="E72">
            <v>4.375</v>
          </cell>
          <cell r="F72">
            <v>12.5</v>
          </cell>
          <cell r="H72">
            <v>25</v>
          </cell>
        </row>
        <row r="73">
          <cell r="A73">
            <v>67</v>
          </cell>
          <cell r="B73" t="str">
            <v xml:space="preserve">Tecle </v>
          </cell>
          <cell r="C73">
            <v>0.75</v>
          </cell>
          <cell r="D73">
            <v>0.875</v>
          </cell>
          <cell r="E73">
            <v>0.875</v>
          </cell>
          <cell r="F73">
            <v>2.5</v>
          </cell>
          <cell r="H73">
            <v>5</v>
          </cell>
        </row>
        <row r="74">
          <cell r="A74">
            <v>68</v>
          </cell>
          <cell r="B74" t="str">
            <v>Track drill</v>
          </cell>
          <cell r="C74">
            <v>9.75</v>
          </cell>
          <cell r="D74">
            <v>11.375</v>
          </cell>
          <cell r="E74">
            <v>11.375</v>
          </cell>
          <cell r="F74">
            <v>32.5</v>
          </cell>
          <cell r="H74">
            <v>65</v>
          </cell>
        </row>
        <row r="75">
          <cell r="A75">
            <v>69</v>
          </cell>
          <cell r="B75" t="str">
            <v>Track.-Drill (2"-4")</v>
          </cell>
          <cell r="C75">
            <v>7.5</v>
          </cell>
          <cell r="D75">
            <v>8.75</v>
          </cell>
          <cell r="E75">
            <v>8.75</v>
          </cell>
          <cell r="F75">
            <v>25</v>
          </cell>
          <cell r="H75">
            <v>50</v>
          </cell>
        </row>
        <row r="76">
          <cell r="A76">
            <v>70</v>
          </cell>
          <cell r="B76" t="str">
            <v>Tractor</v>
          </cell>
          <cell r="C76">
            <v>7.35</v>
          </cell>
          <cell r="D76">
            <v>8.5749999999999993</v>
          </cell>
          <cell r="E76">
            <v>8.5749999999999993</v>
          </cell>
          <cell r="F76">
            <v>24.5</v>
          </cell>
          <cell r="H76">
            <v>49</v>
          </cell>
        </row>
        <row r="77">
          <cell r="A77">
            <v>71</v>
          </cell>
          <cell r="B77" t="str">
            <v>Tractor (Ruteador)</v>
          </cell>
          <cell r="C77">
            <v>10.5</v>
          </cell>
          <cell r="D77">
            <v>12.25</v>
          </cell>
          <cell r="E77">
            <v>12.25</v>
          </cell>
          <cell r="F77">
            <v>35</v>
          </cell>
          <cell r="H77">
            <v>70</v>
          </cell>
        </row>
        <row r="78">
          <cell r="A78">
            <v>72</v>
          </cell>
          <cell r="B78" t="str">
            <v>Tractor Agr. Surcadora</v>
          </cell>
          <cell r="C78">
            <v>1.5</v>
          </cell>
          <cell r="D78">
            <v>1.75</v>
          </cell>
          <cell r="E78">
            <v>1.75</v>
          </cell>
          <cell r="F78">
            <v>5</v>
          </cell>
          <cell r="H78">
            <v>10</v>
          </cell>
        </row>
        <row r="79">
          <cell r="A79">
            <v>73</v>
          </cell>
          <cell r="B79" t="str">
            <v>Tractor de Oruga</v>
          </cell>
          <cell r="C79">
            <v>8.25</v>
          </cell>
          <cell r="D79">
            <v>9.625</v>
          </cell>
          <cell r="E79">
            <v>9.625</v>
          </cell>
          <cell r="F79">
            <v>27.5</v>
          </cell>
          <cell r="H79">
            <v>55</v>
          </cell>
        </row>
        <row r="80">
          <cell r="A80">
            <v>74</v>
          </cell>
          <cell r="B80" t="str">
            <v>Tractor de Oruga</v>
          </cell>
          <cell r="C80">
            <v>18</v>
          </cell>
          <cell r="D80">
            <v>21</v>
          </cell>
          <cell r="E80">
            <v>21</v>
          </cell>
          <cell r="F80">
            <v>60</v>
          </cell>
          <cell r="H80">
            <v>120</v>
          </cell>
        </row>
        <row r="81">
          <cell r="A81">
            <v>75</v>
          </cell>
          <cell r="B81" t="str">
            <v>Extractor de aire</v>
          </cell>
          <cell r="C81">
            <v>0.75</v>
          </cell>
          <cell r="D81">
            <v>0.875</v>
          </cell>
          <cell r="E81">
            <v>0.875</v>
          </cell>
          <cell r="F81">
            <v>2.5</v>
          </cell>
          <cell r="H81">
            <v>5</v>
          </cell>
        </row>
        <row r="82">
          <cell r="A82">
            <v>76</v>
          </cell>
          <cell r="B82" t="str">
            <v>Equipo de pintura</v>
          </cell>
          <cell r="C82">
            <v>1.5</v>
          </cell>
          <cell r="D82">
            <v>1.75</v>
          </cell>
          <cell r="E82">
            <v>1.75</v>
          </cell>
          <cell r="F82">
            <v>5</v>
          </cell>
          <cell r="H82">
            <v>10</v>
          </cell>
        </row>
        <row r="83">
          <cell r="A83">
            <v>77</v>
          </cell>
          <cell r="B83" t="str">
            <v>Vibrador de Hormigón</v>
          </cell>
          <cell r="C83">
            <v>0.44999999999999996</v>
          </cell>
          <cell r="D83">
            <v>0.52499999999999991</v>
          </cell>
          <cell r="E83">
            <v>0.52499999999999991</v>
          </cell>
          <cell r="F83">
            <v>1.5</v>
          </cell>
          <cell r="H83">
            <v>3</v>
          </cell>
        </row>
        <row r="84">
          <cell r="A84">
            <v>78</v>
          </cell>
          <cell r="B84" t="str">
            <v>Bomba de prueba</v>
          </cell>
          <cell r="C84">
            <v>0.75</v>
          </cell>
          <cell r="D84">
            <v>0.875</v>
          </cell>
          <cell r="E84">
            <v>0.875</v>
          </cell>
          <cell r="F84">
            <v>2.5</v>
          </cell>
          <cell r="H84">
            <v>5</v>
          </cell>
        </row>
        <row r="85">
          <cell r="A85">
            <v>79</v>
          </cell>
          <cell r="B85" t="str">
            <v>Bomba de succion</v>
          </cell>
          <cell r="C85">
            <v>0.44999999999999996</v>
          </cell>
          <cell r="D85">
            <v>0.52499999999999991</v>
          </cell>
          <cell r="E85">
            <v>0.52499999999999991</v>
          </cell>
          <cell r="F85">
            <v>1.5</v>
          </cell>
          <cell r="H85">
            <v>3</v>
          </cell>
        </row>
        <row r="86">
          <cell r="A86">
            <v>80</v>
          </cell>
          <cell r="B86" t="str">
            <v>Volquete</v>
          </cell>
          <cell r="C86">
            <v>3.75</v>
          </cell>
          <cell r="D86">
            <v>4.375</v>
          </cell>
          <cell r="E86">
            <v>4.375</v>
          </cell>
          <cell r="F86">
            <v>12.5</v>
          </cell>
          <cell r="H86">
            <v>25</v>
          </cell>
        </row>
        <row r="87">
          <cell r="A87">
            <v>81</v>
          </cell>
          <cell r="B87" t="str">
            <v>Grua para postes</v>
          </cell>
          <cell r="C87">
            <v>1.5</v>
          </cell>
          <cell r="D87">
            <v>1.75</v>
          </cell>
          <cell r="E87">
            <v>1.75</v>
          </cell>
          <cell r="F87">
            <v>5</v>
          </cell>
          <cell r="H87">
            <v>10</v>
          </cell>
        </row>
      </sheetData>
      <sheetData sheetId="10" refreshError="1">
        <row r="10">
          <cell r="A10">
            <v>1</v>
          </cell>
          <cell r="B10" t="str">
            <v>Cemento</v>
          </cell>
          <cell r="D10" t="str">
            <v>kg</v>
          </cell>
          <cell r="E10">
            <v>0.14000000000000001</v>
          </cell>
          <cell r="G10">
            <v>0.14000000000000001</v>
          </cell>
        </row>
        <row r="11">
          <cell r="A11">
            <v>2</v>
          </cell>
          <cell r="B11" t="str">
            <v>Arena</v>
          </cell>
          <cell r="D11" t="str">
            <v>m3</v>
          </cell>
          <cell r="E11">
            <v>16</v>
          </cell>
          <cell r="G11">
            <v>16</v>
          </cell>
        </row>
        <row r="12">
          <cell r="A12">
            <v>3</v>
          </cell>
          <cell r="B12" t="str">
            <v>Ripio</v>
          </cell>
          <cell r="D12" t="str">
            <v>m3</v>
          </cell>
          <cell r="E12">
            <v>13.5</v>
          </cell>
          <cell r="G12">
            <v>13.5</v>
          </cell>
        </row>
        <row r="13">
          <cell r="A13">
            <v>4</v>
          </cell>
          <cell r="B13" t="str">
            <v>Piedra bola</v>
          </cell>
          <cell r="D13" t="str">
            <v>m3</v>
          </cell>
          <cell r="E13">
            <v>12</v>
          </cell>
          <cell r="G13">
            <v>12</v>
          </cell>
        </row>
        <row r="14">
          <cell r="A14">
            <v>5</v>
          </cell>
          <cell r="B14" t="str">
            <v>Agua</v>
          </cell>
          <cell r="D14" t="str">
            <v>m3</v>
          </cell>
          <cell r="E14">
            <v>1.5</v>
          </cell>
          <cell r="G14">
            <v>1.5</v>
          </cell>
        </row>
        <row r="15">
          <cell r="A15">
            <v>6</v>
          </cell>
          <cell r="B15" t="str">
            <v>Encofrado</v>
          </cell>
          <cell r="D15" t="str">
            <v>glb</v>
          </cell>
          <cell r="E15">
            <v>10</v>
          </cell>
          <cell r="G15">
            <v>10</v>
          </cell>
        </row>
        <row r="16">
          <cell r="A16">
            <v>7</v>
          </cell>
          <cell r="B16" t="str">
            <v>Acero en barras</v>
          </cell>
          <cell r="D16" t="str">
            <v>kg</v>
          </cell>
          <cell r="E16">
            <v>1.1399999999999999</v>
          </cell>
          <cell r="G16">
            <v>1.1399999999999999</v>
          </cell>
        </row>
        <row r="17">
          <cell r="A17">
            <v>8</v>
          </cell>
          <cell r="B17" t="str">
            <v>Alambre de amarre</v>
          </cell>
          <cell r="D17" t="str">
            <v>kg</v>
          </cell>
          <cell r="E17">
            <v>2.5</v>
          </cell>
          <cell r="G17">
            <v>2.5</v>
          </cell>
        </row>
        <row r="18">
          <cell r="A18">
            <v>9</v>
          </cell>
          <cell r="B18" t="str">
            <v>Material granular</v>
          </cell>
          <cell r="D18" t="str">
            <v>m3</v>
          </cell>
          <cell r="E18">
            <v>12</v>
          </cell>
          <cell r="G18">
            <v>12</v>
          </cell>
        </row>
        <row r="19">
          <cell r="A19">
            <v>10</v>
          </cell>
          <cell r="B19" t="str">
            <v>Base</v>
          </cell>
          <cell r="D19" t="str">
            <v>m3</v>
          </cell>
          <cell r="E19">
            <v>8.5</v>
          </cell>
          <cell r="G19">
            <v>8.5</v>
          </cell>
        </row>
        <row r="20">
          <cell r="A20">
            <v>11</v>
          </cell>
          <cell r="B20" t="str">
            <v xml:space="preserve">Sub Base </v>
          </cell>
          <cell r="D20" t="str">
            <v>m3</v>
          </cell>
          <cell r="E20">
            <v>7</v>
          </cell>
          <cell r="G20">
            <v>7</v>
          </cell>
        </row>
        <row r="21">
          <cell r="A21">
            <v>12</v>
          </cell>
          <cell r="B21" t="str">
            <v>Lastre de rio</v>
          </cell>
          <cell r="D21" t="str">
            <v>m3</v>
          </cell>
          <cell r="E21">
            <v>5</v>
          </cell>
          <cell r="G21">
            <v>5</v>
          </cell>
        </row>
        <row r="22">
          <cell r="A22">
            <v>13</v>
          </cell>
          <cell r="B22" t="str">
            <v>Material de mejoramiento</v>
          </cell>
          <cell r="D22" t="str">
            <v>m3</v>
          </cell>
          <cell r="E22">
            <v>4.8</v>
          </cell>
          <cell r="G22">
            <v>4.8</v>
          </cell>
        </row>
        <row r="23">
          <cell r="A23">
            <v>14</v>
          </cell>
          <cell r="B23" t="str">
            <v>Material de prestamo</v>
          </cell>
          <cell r="D23" t="str">
            <v>m3</v>
          </cell>
          <cell r="E23">
            <v>3</v>
          </cell>
          <cell r="G23">
            <v>3</v>
          </cell>
        </row>
        <row r="24">
          <cell r="A24">
            <v>15</v>
          </cell>
          <cell r="B24" t="str">
            <v>Grava</v>
          </cell>
          <cell r="D24" t="str">
            <v>m3</v>
          </cell>
          <cell r="E24">
            <v>10.55</v>
          </cell>
          <cell r="G24">
            <v>10.55</v>
          </cell>
        </row>
        <row r="25">
          <cell r="A25">
            <v>16</v>
          </cell>
          <cell r="B25" t="str">
            <v>Pintura satinada</v>
          </cell>
          <cell r="D25" t="str">
            <v>gal</v>
          </cell>
          <cell r="E25">
            <v>18</v>
          </cell>
          <cell r="G25">
            <v>18</v>
          </cell>
        </row>
        <row r="26">
          <cell r="A26">
            <v>17</v>
          </cell>
          <cell r="B26" t="str">
            <v>Pintura caucho</v>
          </cell>
          <cell r="D26" t="str">
            <v>gal</v>
          </cell>
          <cell r="E26">
            <v>16</v>
          </cell>
          <cell r="G26">
            <v>16</v>
          </cell>
        </row>
        <row r="27">
          <cell r="A27">
            <v>18</v>
          </cell>
          <cell r="B27" t="str">
            <v>Pintura látex</v>
          </cell>
          <cell r="D27" t="str">
            <v>gal</v>
          </cell>
          <cell r="E27">
            <v>16</v>
          </cell>
          <cell r="G27">
            <v>16</v>
          </cell>
        </row>
        <row r="28">
          <cell r="A28">
            <v>19</v>
          </cell>
          <cell r="B28" t="str">
            <v>Pintura anticorrosiva</v>
          </cell>
          <cell r="D28" t="str">
            <v>gal</v>
          </cell>
          <cell r="E28">
            <v>12</v>
          </cell>
          <cell r="G28">
            <v>12</v>
          </cell>
        </row>
        <row r="29">
          <cell r="A29">
            <v>20</v>
          </cell>
          <cell r="B29" t="str">
            <v>Pintura esmalte</v>
          </cell>
          <cell r="D29" t="str">
            <v>gal</v>
          </cell>
          <cell r="E29">
            <v>16</v>
          </cell>
          <cell r="G29">
            <v>16</v>
          </cell>
        </row>
        <row r="30">
          <cell r="A30">
            <v>21</v>
          </cell>
          <cell r="B30" t="str">
            <v>Acero A36</v>
          </cell>
          <cell r="D30" t="str">
            <v>kg</v>
          </cell>
          <cell r="E30">
            <v>1.28</v>
          </cell>
          <cell r="G30">
            <v>1.28</v>
          </cell>
        </row>
        <row r="31">
          <cell r="A31">
            <v>22</v>
          </cell>
          <cell r="B31" t="str">
            <v>Ladrillo mambrón</v>
          </cell>
          <cell r="D31" t="str">
            <v>u</v>
          </cell>
          <cell r="E31">
            <v>0.18</v>
          </cell>
          <cell r="G31">
            <v>0.18</v>
          </cell>
        </row>
        <row r="32">
          <cell r="A32">
            <v>23</v>
          </cell>
          <cell r="B32" t="str">
            <v>Bloque 10 cm</v>
          </cell>
          <cell r="D32" t="str">
            <v>u</v>
          </cell>
          <cell r="E32">
            <v>0.35</v>
          </cell>
          <cell r="G32">
            <v>0.35</v>
          </cell>
        </row>
        <row r="33">
          <cell r="A33">
            <v>24</v>
          </cell>
          <cell r="B33" t="str">
            <v>Varios</v>
          </cell>
          <cell r="D33" t="str">
            <v>glb</v>
          </cell>
          <cell r="E33">
            <v>1</v>
          </cell>
          <cell r="G33">
            <v>1</v>
          </cell>
        </row>
        <row r="34">
          <cell r="A34">
            <v>25</v>
          </cell>
          <cell r="B34" t="str">
            <v>Varios</v>
          </cell>
          <cell r="D34" t="str">
            <v>glb</v>
          </cell>
          <cell r="E34">
            <v>5</v>
          </cell>
          <cell r="G34">
            <v>5</v>
          </cell>
        </row>
        <row r="35">
          <cell r="A35">
            <v>26</v>
          </cell>
          <cell r="B35" t="str">
            <v>Varios</v>
          </cell>
          <cell r="D35" t="str">
            <v>glb</v>
          </cell>
          <cell r="E35">
            <v>10</v>
          </cell>
          <cell r="G35">
            <v>10</v>
          </cell>
        </row>
        <row r="36">
          <cell r="A36">
            <v>27</v>
          </cell>
          <cell r="B36" t="str">
            <v>Varios</v>
          </cell>
          <cell r="D36" t="str">
            <v>glb</v>
          </cell>
          <cell r="E36">
            <v>50</v>
          </cell>
          <cell r="G36">
            <v>50</v>
          </cell>
        </row>
        <row r="37">
          <cell r="A37">
            <v>28</v>
          </cell>
          <cell r="B37" t="str">
            <v>Sikadur 32 premier n</v>
          </cell>
          <cell r="D37" t="str">
            <v>Kg</v>
          </cell>
          <cell r="E37">
            <v>16.5</v>
          </cell>
          <cell r="G37">
            <v>16.5</v>
          </cell>
        </row>
        <row r="38">
          <cell r="A38">
            <v>29</v>
          </cell>
          <cell r="B38" t="str">
            <v>Bloque liviano de 10 cm</v>
          </cell>
          <cell r="D38" t="str">
            <v>m</v>
          </cell>
          <cell r="E38">
            <v>0.3</v>
          </cell>
          <cell r="G38">
            <v>0.3</v>
          </cell>
        </row>
        <row r="39">
          <cell r="A39">
            <v>30</v>
          </cell>
          <cell r="B39" t="str">
            <v>Bloque liviano de 15 cm</v>
          </cell>
          <cell r="D39" t="str">
            <v>u</v>
          </cell>
          <cell r="E39">
            <v>0.4</v>
          </cell>
          <cell r="G39">
            <v>0.4</v>
          </cell>
        </row>
        <row r="40">
          <cell r="A40">
            <v>31</v>
          </cell>
          <cell r="B40" t="str">
            <v>Geotextil NT 2000</v>
          </cell>
          <cell r="D40" t="str">
            <v>m2</v>
          </cell>
          <cell r="E40">
            <v>2.2000000000000002</v>
          </cell>
          <cell r="G40">
            <v>2.2000000000000002</v>
          </cell>
        </row>
        <row r="41">
          <cell r="A41">
            <v>32</v>
          </cell>
          <cell r="B41" t="str">
            <v>Geomalla BX 1100</v>
          </cell>
          <cell r="D41" t="str">
            <v>m2</v>
          </cell>
          <cell r="E41">
            <v>4.25</v>
          </cell>
          <cell r="G41">
            <v>4.25</v>
          </cell>
        </row>
        <row r="42">
          <cell r="A42">
            <v>33</v>
          </cell>
          <cell r="B42" t="str">
            <v>Soldadura</v>
          </cell>
          <cell r="D42" t="str">
            <v>kg</v>
          </cell>
          <cell r="E42">
            <v>3.5</v>
          </cell>
          <cell r="G42">
            <v>3.5</v>
          </cell>
        </row>
        <row r="43">
          <cell r="A43">
            <v>34</v>
          </cell>
          <cell r="B43" t="str">
            <v>Perfil tipo G 100x50x20x4 mm</v>
          </cell>
          <cell r="D43" t="str">
            <v>ml</v>
          </cell>
          <cell r="E43">
            <v>8.25</v>
          </cell>
          <cell r="G43">
            <v>8.25</v>
          </cell>
        </row>
        <row r="44">
          <cell r="A44">
            <v>35</v>
          </cell>
          <cell r="B44" t="str">
            <v>Novalosa Master Deck 0,75mm</v>
          </cell>
          <cell r="D44" t="str">
            <v>m2</v>
          </cell>
          <cell r="E44">
            <v>14.8</v>
          </cell>
          <cell r="G44">
            <v>14.8</v>
          </cell>
        </row>
        <row r="45">
          <cell r="A45">
            <v>36</v>
          </cell>
          <cell r="B45" t="str">
            <v>Malla cerramiento 50/10</v>
          </cell>
          <cell r="D45" t="str">
            <v>m2</v>
          </cell>
          <cell r="E45">
            <v>6.25</v>
          </cell>
          <cell r="G45">
            <v>6.25</v>
          </cell>
        </row>
        <row r="46">
          <cell r="A46">
            <v>37</v>
          </cell>
          <cell r="B46" t="str">
            <v>Jarra de cemento</v>
          </cell>
          <cell r="D46" t="str">
            <v>u</v>
          </cell>
          <cell r="E46">
            <v>80</v>
          </cell>
          <cell r="G46">
            <v>80</v>
          </cell>
        </row>
        <row r="47">
          <cell r="A47">
            <v>38</v>
          </cell>
          <cell r="B47" t="str">
            <v>Tapa y Cerco de hierro fundido</v>
          </cell>
          <cell r="D47" t="str">
            <v>u</v>
          </cell>
          <cell r="E47">
            <v>180</v>
          </cell>
          <cell r="G47">
            <v>180</v>
          </cell>
        </row>
        <row r="48">
          <cell r="A48">
            <v>39</v>
          </cell>
          <cell r="B48" t="str">
            <v>Rejilla de protección de hierro corrugado d=14mm</v>
          </cell>
          <cell r="D48" t="str">
            <v>ml</v>
          </cell>
          <cell r="E48">
            <v>35</v>
          </cell>
          <cell r="G48">
            <v>35</v>
          </cell>
        </row>
        <row r="49">
          <cell r="A49">
            <v>40</v>
          </cell>
          <cell r="B49" t="str">
            <v>Malla electrosoldada R84</v>
          </cell>
          <cell r="D49" t="str">
            <v>m2</v>
          </cell>
          <cell r="E49">
            <v>1.75</v>
          </cell>
          <cell r="G49">
            <v>1.75</v>
          </cell>
        </row>
        <row r="50">
          <cell r="A50">
            <v>41</v>
          </cell>
          <cell r="B50" t="str">
            <v>Tubería E/C PVC 90mm  0,8MPa</v>
          </cell>
          <cell r="D50" t="str">
            <v>m</v>
          </cell>
          <cell r="E50">
            <v>6</v>
          </cell>
          <cell r="G50">
            <v>6</v>
          </cell>
        </row>
        <row r="51">
          <cell r="A51">
            <v>42</v>
          </cell>
          <cell r="B51" t="str">
            <v>Tubería E/C PVC 75mm  0,8MPa</v>
          </cell>
          <cell r="D51" t="str">
            <v>m</v>
          </cell>
          <cell r="E51">
            <v>3.4</v>
          </cell>
          <cell r="G51">
            <v>3.4</v>
          </cell>
        </row>
        <row r="52">
          <cell r="A52">
            <v>43</v>
          </cell>
          <cell r="B52" t="str">
            <v>Tubería E/C PVC 63mm  1,25MPa</v>
          </cell>
          <cell r="D52" t="str">
            <v>m</v>
          </cell>
          <cell r="E52">
            <v>3.2</v>
          </cell>
          <cell r="G52">
            <v>3.2</v>
          </cell>
        </row>
        <row r="53">
          <cell r="A53">
            <v>44</v>
          </cell>
          <cell r="B53" t="str">
            <v>Tubería E/C PVC 63mm  0,8MPa</v>
          </cell>
          <cell r="D53" t="str">
            <v>m</v>
          </cell>
          <cell r="E53">
            <v>2.9</v>
          </cell>
          <cell r="G53">
            <v>2.9</v>
          </cell>
        </row>
        <row r="54">
          <cell r="A54">
            <v>45</v>
          </cell>
          <cell r="B54" t="str">
            <v>Tubería E/C PVC 40mm 1,0MPa</v>
          </cell>
          <cell r="D54" t="str">
            <v>m</v>
          </cell>
          <cell r="E54">
            <v>1.6</v>
          </cell>
          <cell r="G54">
            <v>1.6</v>
          </cell>
        </row>
        <row r="55">
          <cell r="A55">
            <v>46</v>
          </cell>
          <cell r="B55" t="str">
            <v>Junta flexible 1"</v>
          </cell>
          <cell r="D55" t="str">
            <v>u</v>
          </cell>
          <cell r="E55">
            <v>62</v>
          </cell>
          <cell r="G55">
            <v>62</v>
          </cell>
        </row>
        <row r="56">
          <cell r="A56">
            <v>47</v>
          </cell>
          <cell r="B56" t="str">
            <v>Pintura de tumbado sobre estuco</v>
          </cell>
          <cell r="D56" t="str">
            <v>m2</v>
          </cell>
          <cell r="E56">
            <v>1.3</v>
          </cell>
          <cell r="G56">
            <v>1.3</v>
          </cell>
        </row>
        <row r="57">
          <cell r="A57">
            <v>48</v>
          </cell>
          <cell r="B57" t="str">
            <v>Ángulo 50x3mm</v>
          </cell>
          <cell r="D57" t="str">
            <v>ml</v>
          </cell>
          <cell r="E57">
            <v>2.75</v>
          </cell>
          <cell r="G57">
            <v>2.75</v>
          </cell>
        </row>
        <row r="58">
          <cell r="A58">
            <v>49</v>
          </cell>
          <cell r="B58" t="str">
            <v>Malla electrosoldada de 4x10cm</v>
          </cell>
          <cell r="D58" t="str">
            <v>m2</v>
          </cell>
          <cell r="E58">
            <v>4.0999999999999996</v>
          </cell>
          <cell r="G58">
            <v>4.0999999999999996</v>
          </cell>
        </row>
        <row r="59">
          <cell r="A59">
            <v>50</v>
          </cell>
          <cell r="B59" t="str">
            <v>Malla electrosoldada de 15x15x4cm</v>
          </cell>
          <cell r="D59" t="str">
            <v>m2</v>
          </cell>
          <cell r="E59">
            <v>3.1</v>
          </cell>
          <cell r="G59">
            <v>3.1</v>
          </cell>
        </row>
        <row r="60">
          <cell r="A60">
            <v>51</v>
          </cell>
          <cell r="B60" t="str">
            <v>Fondo de junta</v>
          </cell>
          <cell r="D60" t="str">
            <v>kg</v>
          </cell>
          <cell r="E60">
            <v>9.3000000000000007</v>
          </cell>
          <cell r="G60">
            <v>9.3000000000000007</v>
          </cell>
        </row>
        <row r="61">
          <cell r="A61">
            <v>52</v>
          </cell>
          <cell r="B61" t="str">
            <v>Tapa junta de aluminio</v>
          </cell>
          <cell r="D61" t="str">
            <v>ml</v>
          </cell>
          <cell r="E61">
            <v>3.3</v>
          </cell>
          <cell r="G61">
            <v>3.3</v>
          </cell>
        </row>
        <row r="62">
          <cell r="A62">
            <v>53</v>
          </cell>
          <cell r="B62" t="str">
            <v xml:space="preserve">Sellador de junta </v>
          </cell>
          <cell r="D62" t="str">
            <v>ml</v>
          </cell>
          <cell r="E62">
            <v>0.2</v>
          </cell>
          <cell r="G62">
            <v>0.2</v>
          </cell>
        </row>
        <row r="63">
          <cell r="A63">
            <v>54</v>
          </cell>
          <cell r="B63" t="str">
            <v>Brea</v>
          </cell>
          <cell r="D63" t="str">
            <v>kg</v>
          </cell>
          <cell r="E63">
            <v>1.55</v>
          </cell>
          <cell r="G63">
            <v>1.55</v>
          </cell>
        </row>
        <row r="64">
          <cell r="A64">
            <v>55</v>
          </cell>
          <cell r="B64" t="str">
            <v>Tanque de combustible A36</v>
          </cell>
          <cell r="D64" t="str">
            <v>u</v>
          </cell>
          <cell r="E64">
            <v>865</v>
          </cell>
          <cell r="G64">
            <v>865</v>
          </cell>
        </row>
        <row r="65">
          <cell r="A65">
            <v>56</v>
          </cell>
          <cell r="B65" t="str">
            <v>Mueble bajo de madera</v>
          </cell>
          <cell r="D65" t="str">
            <v>ml</v>
          </cell>
          <cell r="E65">
            <v>85</v>
          </cell>
          <cell r="G65">
            <v>85</v>
          </cell>
        </row>
        <row r="66">
          <cell r="A66">
            <v>57</v>
          </cell>
          <cell r="B66" t="str">
            <v>Yeso</v>
          </cell>
          <cell r="D66" t="str">
            <v>Kg</v>
          </cell>
          <cell r="E66">
            <v>0.4</v>
          </cell>
          <cell r="G66">
            <v>0.4</v>
          </cell>
        </row>
        <row r="67">
          <cell r="A67">
            <v>58</v>
          </cell>
          <cell r="B67" t="str">
            <v>Pintura tráfico</v>
          </cell>
          <cell r="D67" t="str">
            <v>gal</v>
          </cell>
          <cell r="E67">
            <v>26</v>
          </cell>
          <cell r="G67">
            <v>26</v>
          </cell>
        </row>
        <row r="68">
          <cell r="A68">
            <v>59</v>
          </cell>
          <cell r="B68" t="str">
            <v>Tinner</v>
          </cell>
          <cell r="D68" t="str">
            <v>gal</v>
          </cell>
          <cell r="E68">
            <v>12</v>
          </cell>
          <cell r="G68">
            <v>12</v>
          </cell>
        </row>
        <row r="69">
          <cell r="A69">
            <v>60</v>
          </cell>
          <cell r="B69" t="str">
            <v>Gypsum verde para mampostería</v>
          </cell>
          <cell r="D69" t="str">
            <v>m2</v>
          </cell>
          <cell r="E69">
            <v>11.5</v>
          </cell>
          <cell r="G69">
            <v>11.5</v>
          </cell>
        </row>
        <row r="70">
          <cell r="A70">
            <v>61</v>
          </cell>
          <cell r="B70" t="str">
            <v>Estructura principal y secundaria</v>
          </cell>
          <cell r="D70" t="str">
            <v>m2</v>
          </cell>
          <cell r="E70">
            <v>1.95</v>
          </cell>
          <cell r="G70">
            <v>1.95</v>
          </cell>
        </row>
        <row r="71">
          <cell r="A71">
            <v>62</v>
          </cell>
          <cell r="B71" t="str">
            <v>Puerta panelada incluye marco</v>
          </cell>
          <cell r="D71" t="str">
            <v>u</v>
          </cell>
          <cell r="E71">
            <v>140</v>
          </cell>
          <cell r="G71">
            <v>140</v>
          </cell>
        </row>
        <row r="72">
          <cell r="A72">
            <v>63</v>
          </cell>
          <cell r="B72" t="str">
            <v>Mampara de vidrio templado 10mm y accesorios de acero inoxidable</v>
          </cell>
          <cell r="D72" t="str">
            <v>m2</v>
          </cell>
          <cell r="E72">
            <v>85</v>
          </cell>
          <cell r="G72">
            <v>85</v>
          </cell>
        </row>
        <row r="73">
          <cell r="A73">
            <v>64</v>
          </cell>
          <cell r="B73" t="str">
            <v>Espejo claro 4mm para baños (inc. Soportes)</v>
          </cell>
          <cell r="D73" t="str">
            <v>m2</v>
          </cell>
          <cell r="E73">
            <v>25</v>
          </cell>
          <cell r="G73">
            <v>25</v>
          </cell>
        </row>
        <row r="74">
          <cell r="A74">
            <v>65</v>
          </cell>
          <cell r="B74" t="str">
            <v>Puerta metálica tol corrugado inc. Cerradura</v>
          </cell>
          <cell r="D74" t="str">
            <v>m2</v>
          </cell>
          <cell r="E74">
            <v>77.5</v>
          </cell>
          <cell r="G74">
            <v>77.5</v>
          </cell>
        </row>
        <row r="75">
          <cell r="A75">
            <v>66</v>
          </cell>
          <cell r="B75" t="str">
            <v>Pasamanos de acero inoxidable y vidrio templado de 10mm</v>
          </cell>
          <cell r="D75" t="str">
            <v>ml</v>
          </cell>
          <cell r="E75">
            <v>250</v>
          </cell>
          <cell r="G75">
            <v>250</v>
          </cell>
        </row>
        <row r="76">
          <cell r="A76">
            <v>67</v>
          </cell>
          <cell r="B76" t="str">
            <v>Escalera helicoidal</v>
          </cell>
          <cell r="D76" t="str">
            <v>ml</v>
          </cell>
          <cell r="E76">
            <v>240</v>
          </cell>
          <cell r="G76">
            <v>240</v>
          </cell>
        </row>
        <row r="77">
          <cell r="A77">
            <v>68</v>
          </cell>
          <cell r="B77" t="str">
            <v>Cerradura pomo</v>
          </cell>
          <cell r="D77" t="str">
            <v>u</v>
          </cell>
          <cell r="E77">
            <v>18</v>
          </cell>
          <cell r="G77">
            <v>18</v>
          </cell>
        </row>
        <row r="78">
          <cell r="A78">
            <v>69</v>
          </cell>
          <cell r="B78" t="str">
            <v>Puerta de vidrio templado 10mm (inc. Jaladeras, accesorios)</v>
          </cell>
          <cell r="D78" t="str">
            <v>u</v>
          </cell>
          <cell r="E78">
            <v>650</v>
          </cell>
          <cell r="G78">
            <v>650</v>
          </cell>
        </row>
        <row r="79">
          <cell r="A79">
            <v>70</v>
          </cell>
          <cell r="B79" t="str">
            <v>Tubería HG ASTM A-120 2 1/2"</v>
          </cell>
          <cell r="D79" t="str">
            <v>ml</v>
          </cell>
          <cell r="E79">
            <v>11</v>
          </cell>
          <cell r="G79">
            <v>11</v>
          </cell>
        </row>
        <row r="80">
          <cell r="A80">
            <v>71</v>
          </cell>
          <cell r="B80" t="str">
            <v>Tubería HG ASTM A-120 2"</v>
          </cell>
          <cell r="D80" t="str">
            <v>ml</v>
          </cell>
          <cell r="E80">
            <v>10</v>
          </cell>
          <cell r="G80">
            <v>10</v>
          </cell>
        </row>
        <row r="81">
          <cell r="A81">
            <v>72</v>
          </cell>
          <cell r="B81" t="str">
            <v>Tubería HG ASTM A-120 1 1/2"</v>
          </cell>
          <cell r="D81" t="str">
            <v>ml</v>
          </cell>
          <cell r="E81">
            <v>9.5</v>
          </cell>
          <cell r="G81">
            <v>9.5</v>
          </cell>
        </row>
        <row r="82">
          <cell r="A82">
            <v>73</v>
          </cell>
          <cell r="B82" t="str">
            <v>Tubería HG ASTM A-120 1 1/4"</v>
          </cell>
          <cell r="D82" t="str">
            <v>ml</v>
          </cell>
          <cell r="E82">
            <v>9</v>
          </cell>
          <cell r="G82">
            <v>9</v>
          </cell>
        </row>
        <row r="83">
          <cell r="A83">
            <v>74</v>
          </cell>
          <cell r="B83" t="str">
            <v>Tubería HG ASTM A-120 1/2"</v>
          </cell>
          <cell r="D83" t="str">
            <v>ml</v>
          </cell>
          <cell r="E83">
            <v>6</v>
          </cell>
          <cell r="G83">
            <v>6</v>
          </cell>
        </row>
        <row r="84">
          <cell r="A84">
            <v>75</v>
          </cell>
          <cell r="B84" t="str">
            <v>Malla electrosoldada</v>
          </cell>
          <cell r="D84" t="str">
            <v>m2</v>
          </cell>
          <cell r="E84">
            <v>3.1</v>
          </cell>
          <cell r="G84">
            <v>3.1</v>
          </cell>
        </row>
        <row r="85">
          <cell r="A85">
            <v>76</v>
          </cell>
          <cell r="B85" t="str">
            <v>Cerámica alto tráfico</v>
          </cell>
          <cell r="D85" t="str">
            <v>m2</v>
          </cell>
          <cell r="E85">
            <v>12</v>
          </cell>
          <cell r="G85">
            <v>12</v>
          </cell>
        </row>
        <row r="86">
          <cell r="A86">
            <v>77</v>
          </cell>
          <cell r="B86" t="str">
            <v>Porcelanato</v>
          </cell>
          <cell r="D86" t="str">
            <v>m2</v>
          </cell>
          <cell r="E86">
            <v>18</v>
          </cell>
          <cell r="G86">
            <v>18</v>
          </cell>
        </row>
        <row r="87">
          <cell r="A87">
            <v>78</v>
          </cell>
          <cell r="B87" t="str">
            <v>Bondex</v>
          </cell>
          <cell r="D87" t="str">
            <v>kg</v>
          </cell>
          <cell r="E87">
            <v>0.35</v>
          </cell>
          <cell r="G87">
            <v>0.35</v>
          </cell>
        </row>
        <row r="88">
          <cell r="A88">
            <v>79</v>
          </cell>
          <cell r="B88" t="str">
            <v>Piedra Tungurahua</v>
          </cell>
          <cell r="D88" t="str">
            <v>m2</v>
          </cell>
          <cell r="E88">
            <v>23</v>
          </cell>
          <cell r="G88">
            <v>23</v>
          </cell>
        </row>
        <row r="89">
          <cell r="A89">
            <v>80</v>
          </cell>
          <cell r="B89" t="str">
            <v>Protex siliconseal</v>
          </cell>
          <cell r="D89" t="str">
            <v>lt</v>
          </cell>
          <cell r="E89">
            <v>4</v>
          </cell>
          <cell r="G89">
            <v>4</v>
          </cell>
        </row>
        <row r="90">
          <cell r="A90">
            <v>81</v>
          </cell>
          <cell r="B90" t="str">
            <v>Disco de corte de piedra</v>
          </cell>
          <cell r="D90" t="str">
            <v>u</v>
          </cell>
          <cell r="E90">
            <v>32.5</v>
          </cell>
          <cell r="G90">
            <v>32.5</v>
          </cell>
        </row>
        <row r="91">
          <cell r="A91">
            <v>82</v>
          </cell>
          <cell r="B91" t="str">
            <v>Pintura permalatex</v>
          </cell>
          <cell r="D91" t="str">
            <v>glb</v>
          </cell>
          <cell r="E91">
            <v>1</v>
          </cell>
          <cell r="G91">
            <v>1</v>
          </cell>
        </row>
        <row r="92">
          <cell r="A92">
            <v>83</v>
          </cell>
          <cell r="B92" t="str">
            <v>Estuco</v>
          </cell>
          <cell r="D92" t="str">
            <v>kg</v>
          </cell>
          <cell r="E92">
            <v>0.7</v>
          </cell>
          <cell r="G92">
            <v>0.7</v>
          </cell>
        </row>
        <row r="93">
          <cell r="A93">
            <v>84</v>
          </cell>
          <cell r="B93" t="str">
            <v>Adoquin peatonal</v>
          </cell>
          <cell r="D93" t="str">
            <v>m2</v>
          </cell>
          <cell r="E93">
            <v>10</v>
          </cell>
          <cell r="G93">
            <v>10</v>
          </cell>
        </row>
        <row r="94">
          <cell r="A94">
            <v>85</v>
          </cell>
          <cell r="B94" t="str">
            <v>Ventana curva de aluminio y vidrio reflectivo 6mm</v>
          </cell>
          <cell r="D94" t="str">
            <v>m2</v>
          </cell>
          <cell r="E94">
            <v>130</v>
          </cell>
          <cell r="G94">
            <v>130</v>
          </cell>
        </row>
        <row r="95">
          <cell r="A95">
            <v>86</v>
          </cell>
          <cell r="B95" t="str">
            <v>Ventana de aluminio y vidrio reflectivo 8mm inc. lámina seg.</v>
          </cell>
          <cell r="D95" t="str">
            <v>m2</v>
          </cell>
          <cell r="E95">
            <v>60</v>
          </cell>
          <cell r="G95">
            <v>60</v>
          </cell>
        </row>
        <row r="96">
          <cell r="A96">
            <v>87</v>
          </cell>
          <cell r="B96" t="str">
            <v>Estuco plástico</v>
          </cell>
          <cell r="D96" t="str">
            <v>gal</v>
          </cell>
          <cell r="E96">
            <v>9.1999999999999993</v>
          </cell>
          <cell r="G96">
            <v>9.1999999999999993</v>
          </cell>
        </row>
        <row r="97">
          <cell r="A97">
            <v>88</v>
          </cell>
          <cell r="B97" t="str">
            <v>Extintor CO2, 22 Kg.</v>
          </cell>
          <cell r="D97" t="str">
            <v>u</v>
          </cell>
          <cell r="E97">
            <v>250</v>
          </cell>
          <cell r="G97">
            <v>250</v>
          </cell>
        </row>
        <row r="98">
          <cell r="A98">
            <v>89</v>
          </cell>
          <cell r="B98" t="str">
            <v>Extintor polvo químico ABC, 9 kg (PQS) con abrazadera</v>
          </cell>
          <cell r="D98" t="str">
            <v>u</v>
          </cell>
          <cell r="E98">
            <v>52</v>
          </cell>
          <cell r="G98">
            <v>52</v>
          </cell>
        </row>
        <row r="99">
          <cell r="A99">
            <v>90</v>
          </cell>
          <cell r="B99" t="str">
            <v>Grafiado</v>
          </cell>
          <cell r="D99" t="str">
            <v>gln</v>
          </cell>
          <cell r="E99">
            <v>26</v>
          </cell>
          <cell r="G99">
            <v>26</v>
          </cell>
        </row>
        <row r="100">
          <cell r="A100">
            <v>91</v>
          </cell>
          <cell r="B100" t="str">
            <v>Granito importado pulido e=20mm</v>
          </cell>
          <cell r="D100" t="str">
            <v>m2</v>
          </cell>
          <cell r="E100">
            <v>120</v>
          </cell>
          <cell r="G100">
            <v>120</v>
          </cell>
        </row>
        <row r="101">
          <cell r="A101">
            <v>92</v>
          </cell>
          <cell r="B101" t="str">
            <v>Resina resintex 50</v>
          </cell>
          <cell r="D101" t="str">
            <v>lt</v>
          </cell>
          <cell r="E101">
            <v>3.5</v>
          </cell>
          <cell r="G101">
            <v>3.5</v>
          </cell>
        </row>
        <row r="102">
          <cell r="A102">
            <v>93</v>
          </cell>
          <cell r="B102" t="str">
            <v>Tubería PVC tipo B de 50 mm</v>
          </cell>
          <cell r="D102" t="str">
            <v>ml</v>
          </cell>
          <cell r="E102">
            <v>1.85</v>
          </cell>
          <cell r="G102">
            <v>1.85</v>
          </cell>
        </row>
        <row r="103">
          <cell r="A103">
            <v>94</v>
          </cell>
          <cell r="B103" t="str">
            <v>Tubería PVC tipo B de 75 mm</v>
          </cell>
          <cell r="D103" t="str">
            <v>ml</v>
          </cell>
          <cell r="E103">
            <v>3.6</v>
          </cell>
          <cell r="G103">
            <v>3.6</v>
          </cell>
        </row>
        <row r="104">
          <cell r="A104">
            <v>95</v>
          </cell>
          <cell r="B104" t="str">
            <v>Tubería PVC tipo B de 110 mm</v>
          </cell>
          <cell r="D104" t="str">
            <v>ml</v>
          </cell>
          <cell r="E104">
            <v>4</v>
          </cell>
          <cell r="G104">
            <v>4</v>
          </cell>
        </row>
        <row r="105">
          <cell r="A105">
            <v>96</v>
          </cell>
          <cell r="B105" t="str">
            <v>Tubería PVC tipo B de 160 mm</v>
          </cell>
          <cell r="D105" t="str">
            <v>ml</v>
          </cell>
          <cell r="E105">
            <v>10</v>
          </cell>
          <cell r="G105">
            <v>10</v>
          </cell>
        </row>
        <row r="106">
          <cell r="A106">
            <v>97</v>
          </cell>
          <cell r="B106" t="str">
            <v>Codo PVC 50mm desague</v>
          </cell>
          <cell r="D106" t="str">
            <v>u</v>
          </cell>
          <cell r="E106">
            <v>0.9</v>
          </cell>
          <cell r="G106">
            <v>0.9</v>
          </cell>
        </row>
        <row r="107">
          <cell r="A107">
            <v>98</v>
          </cell>
          <cell r="B107" t="str">
            <v>Codo PVC 75mm desague</v>
          </cell>
          <cell r="D107" t="str">
            <v>u</v>
          </cell>
          <cell r="E107">
            <v>1.7</v>
          </cell>
          <cell r="G107">
            <v>1.7</v>
          </cell>
        </row>
        <row r="108">
          <cell r="A108">
            <v>99</v>
          </cell>
          <cell r="B108" t="str">
            <v>Codo PVC 110mm desague</v>
          </cell>
          <cell r="D108" t="str">
            <v>u</v>
          </cell>
          <cell r="E108">
            <v>2.5</v>
          </cell>
          <cell r="G108">
            <v>2.5</v>
          </cell>
        </row>
        <row r="109">
          <cell r="A109">
            <v>100</v>
          </cell>
          <cell r="B109" t="str">
            <v>Codo PVC 160mm desague</v>
          </cell>
          <cell r="D109" t="str">
            <v>u</v>
          </cell>
          <cell r="E109">
            <v>2.95</v>
          </cell>
          <cell r="G109">
            <v>2.95</v>
          </cell>
        </row>
        <row r="110">
          <cell r="A110">
            <v>101</v>
          </cell>
          <cell r="B110" t="str">
            <v>Yee PVC 50mm desague</v>
          </cell>
          <cell r="D110" t="str">
            <v>u</v>
          </cell>
          <cell r="E110">
            <v>1.35</v>
          </cell>
          <cell r="G110">
            <v>1.35</v>
          </cell>
        </row>
        <row r="111">
          <cell r="A111">
            <v>102</v>
          </cell>
          <cell r="B111" t="str">
            <v>Yee PVC 75mm desague</v>
          </cell>
          <cell r="D111" t="str">
            <v>u</v>
          </cell>
          <cell r="E111">
            <v>3.25</v>
          </cell>
          <cell r="G111">
            <v>3.25</v>
          </cell>
        </row>
        <row r="112">
          <cell r="A112">
            <v>103</v>
          </cell>
          <cell r="B112" t="str">
            <v>Yee PVC 110mm desague</v>
          </cell>
          <cell r="D112" t="str">
            <v>u</v>
          </cell>
          <cell r="E112">
            <v>4</v>
          </cell>
          <cell r="G112">
            <v>4</v>
          </cell>
        </row>
        <row r="113">
          <cell r="A113">
            <v>104</v>
          </cell>
          <cell r="B113" t="str">
            <v>Yee PVC 160mm desague</v>
          </cell>
          <cell r="D113" t="str">
            <v>u</v>
          </cell>
          <cell r="E113">
            <v>4.6500000000000004</v>
          </cell>
          <cell r="G113">
            <v>4.6500000000000004</v>
          </cell>
        </row>
        <row r="114">
          <cell r="A114">
            <v>105</v>
          </cell>
          <cell r="B114" t="str">
            <v>Abrazadera para canalón</v>
          </cell>
          <cell r="D114" t="str">
            <v>u</v>
          </cell>
          <cell r="E114">
            <v>0.6</v>
          </cell>
          <cell r="G114">
            <v>0.6</v>
          </cell>
        </row>
        <row r="115">
          <cell r="A115">
            <v>106</v>
          </cell>
          <cell r="B115" t="str">
            <v>Rejilla 2"</v>
          </cell>
          <cell r="D115" t="str">
            <v>u</v>
          </cell>
          <cell r="E115">
            <v>4</v>
          </cell>
          <cell r="G115">
            <v>4</v>
          </cell>
        </row>
        <row r="116">
          <cell r="A116">
            <v>107</v>
          </cell>
          <cell r="B116" t="str">
            <v>Rejilla 3"</v>
          </cell>
          <cell r="D116" t="str">
            <v>u</v>
          </cell>
          <cell r="E116">
            <v>4.6500000000000004</v>
          </cell>
          <cell r="G116">
            <v>4.6500000000000004</v>
          </cell>
        </row>
        <row r="117">
          <cell r="A117">
            <v>108</v>
          </cell>
          <cell r="B117" t="str">
            <v>Rejilla 4"</v>
          </cell>
          <cell r="D117" t="str">
            <v>u</v>
          </cell>
          <cell r="E117">
            <v>6.25</v>
          </cell>
          <cell r="G117">
            <v>6.25</v>
          </cell>
        </row>
        <row r="118">
          <cell r="A118">
            <v>109</v>
          </cell>
          <cell r="B118" t="str">
            <v>Sifón PVC de Ø 2"</v>
          </cell>
          <cell r="D118" t="str">
            <v>u</v>
          </cell>
          <cell r="E118">
            <v>1.6</v>
          </cell>
          <cell r="G118">
            <v>1.6</v>
          </cell>
        </row>
        <row r="119">
          <cell r="A119">
            <v>110</v>
          </cell>
          <cell r="B119" t="str">
            <v>Sifón PVC de Ø 3"</v>
          </cell>
          <cell r="D119" t="str">
            <v>u</v>
          </cell>
          <cell r="E119">
            <v>2.4</v>
          </cell>
          <cell r="G119">
            <v>2.4</v>
          </cell>
        </row>
        <row r="120">
          <cell r="A120">
            <v>111</v>
          </cell>
          <cell r="B120" t="str">
            <v>Sifón PVC de Ø 4"</v>
          </cell>
          <cell r="D120" t="str">
            <v>u</v>
          </cell>
          <cell r="E120">
            <v>3.25</v>
          </cell>
          <cell r="G120">
            <v>3.25</v>
          </cell>
        </row>
        <row r="121">
          <cell r="A121">
            <v>112</v>
          </cell>
          <cell r="B121" t="str">
            <v>TUBERIA 110 MM</v>
          </cell>
          <cell r="D121" t="str">
            <v>ml</v>
          </cell>
          <cell r="E121">
            <v>4.9000000000000004</v>
          </cell>
          <cell r="G121">
            <v>4.9000000000000004</v>
          </cell>
        </row>
        <row r="122">
          <cell r="A122">
            <v>113</v>
          </cell>
          <cell r="B122" t="str">
            <v>Tubería estructurada 160 mm</v>
          </cell>
          <cell r="D122" t="str">
            <v>ml</v>
          </cell>
          <cell r="E122">
            <v>7.42</v>
          </cell>
          <cell r="G122">
            <v>7.42</v>
          </cell>
        </row>
        <row r="123">
          <cell r="A123">
            <v>114</v>
          </cell>
          <cell r="B123" t="str">
            <v>Tubería estructurada 200 MM</v>
          </cell>
          <cell r="D123" t="str">
            <v>ml</v>
          </cell>
          <cell r="E123">
            <v>11.85</v>
          </cell>
          <cell r="G123">
            <v>11.85</v>
          </cell>
        </row>
        <row r="124">
          <cell r="A124">
            <v>115</v>
          </cell>
          <cell r="B124" t="str">
            <v>Tubería de polietileno 250 MM</v>
          </cell>
          <cell r="D124" t="str">
            <v>ml</v>
          </cell>
          <cell r="E124">
            <v>22.65</v>
          </cell>
          <cell r="G124">
            <v>22.65</v>
          </cell>
        </row>
        <row r="125">
          <cell r="A125">
            <v>116</v>
          </cell>
          <cell r="B125" t="str">
            <v>Tubería estructurada 315 MM</v>
          </cell>
          <cell r="D125" t="str">
            <v>ml</v>
          </cell>
          <cell r="E125">
            <v>18.850000000000001</v>
          </cell>
          <cell r="G125">
            <v>18.850000000000001</v>
          </cell>
        </row>
        <row r="126">
          <cell r="A126">
            <v>117</v>
          </cell>
          <cell r="B126" t="str">
            <v>Tubería de polietileno 400 MM</v>
          </cell>
          <cell r="D126" t="str">
            <v>ml</v>
          </cell>
          <cell r="E126">
            <v>39.549999999999997</v>
          </cell>
          <cell r="G126">
            <v>39.549999999999997</v>
          </cell>
        </row>
        <row r="127">
          <cell r="A127">
            <v>118</v>
          </cell>
          <cell r="B127" t="str">
            <v>Anillo de caucho 400mm</v>
          </cell>
          <cell r="D127" t="str">
            <v>ml</v>
          </cell>
          <cell r="E127">
            <v>11</v>
          </cell>
          <cell r="G127">
            <v>11</v>
          </cell>
        </row>
        <row r="128">
          <cell r="A128">
            <v>119</v>
          </cell>
          <cell r="B128" t="str">
            <v>Anillo de caucho 315mm</v>
          </cell>
          <cell r="D128" t="str">
            <v>ml</v>
          </cell>
          <cell r="E128">
            <v>10</v>
          </cell>
          <cell r="G128">
            <v>10</v>
          </cell>
        </row>
        <row r="129">
          <cell r="A129">
            <v>120</v>
          </cell>
          <cell r="B129" t="str">
            <v>Anillo de caucho 160mm</v>
          </cell>
          <cell r="D129" t="str">
            <v>u</v>
          </cell>
          <cell r="E129">
            <v>7</v>
          </cell>
          <cell r="G129">
            <v>7</v>
          </cell>
        </row>
        <row r="130">
          <cell r="A130">
            <v>121</v>
          </cell>
          <cell r="B130" t="str">
            <v>Anillo de caucho 200mm</v>
          </cell>
          <cell r="D130" t="str">
            <v>u</v>
          </cell>
          <cell r="E130">
            <v>8</v>
          </cell>
          <cell r="G130">
            <v>8</v>
          </cell>
        </row>
        <row r="131">
          <cell r="A131">
            <v>122</v>
          </cell>
          <cell r="B131" t="str">
            <v>Anillo de caucho 250mm</v>
          </cell>
          <cell r="D131" t="str">
            <v>u</v>
          </cell>
          <cell r="E131">
            <v>9</v>
          </cell>
          <cell r="G131">
            <v>9</v>
          </cell>
        </row>
        <row r="132">
          <cell r="A132">
            <v>123</v>
          </cell>
          <cell r="B132" t="str">
            <v>Canalon recolector</v>
          </cell>
          <cell r="D132" t="str">
            <v>ml</v>
          </cell>
          <cell r="E132">
            <v>12</v>
          </cell>
          <cell r="G132">
            <v>12</v>
          </cell>
        </row>
        <row r="133">
          <cell r="A133">
            <v>124</v>
          </cell>
          <cell r="B133" t="str">
            <v>Geomembrana 150 para base</v>
          </cell>
          <cell r="D133" t="str">
            <v>ml</v>
          </cell>
          <cell r="E133">
            <v>20.5</v>
          </cell>
          <cell r="G133">
            <v>20.5</v>
          </cell>
        </row>
        <row r="134">
          <cell r="A134">
            <v>125</v>
          </cell>
          <cell r="B134" t="str">
            <v>Plancha 1/32'' x 0,75 negra</v>
          </cell>
          <cell r="D134" t="str">
            <v>u</v>
          </cell>
          <cell r="E134">
            <v>14</v>
          </cell>
          <cell r="G134">
            <v>14</v>
          </cell>
        </row>
        <row r="135">
          <cell r="A135">
            <v>126</v>
          </cell>
          <cell r="B135" t="str">
            <v>Tol rugoso de 3mm de espesor</v>
          </cell>
          <cell r="D135" t="str">
            <v>u</v>
          </cell>
          <cell r="E135">
            <v>51</v>
          </cell>
          <cell r="G135">
            <v>51</v>
          </cell>
        </row>
        <row r="136">
          <cell r="A136">
            <v>127</v>
          </cell>
          <cell r="B136" t="str">
            <v>Toma siamesa de bomberos</v>
          </cell>
          <cell r="D136" t="str">
            <v>u</v>
          </cell>
          <cell r="E136">
            <v>300</v>
          </cell>
          <cell r="G136">
            <v>300</v>
          </cell>
        </row>
        <row r="137">
          <cell r="A137">
            <v>128</v>
          </cell>
          <cell r="B137" t="str">
            <v>Válvula check 2 1/2''</v>
          </cell>
          <cell r="D137" t="str">
            <v>u</v>
          </cell>
          <cell r="E137">
            <v>155</v>
          </cell>
          <cell r="G137">
            <v>155</v>
          </cell>
        </row>
        <row r="138">
          <cell r="A138">
            <v>129</v>
          </cell>
          <cell r="B138" t="str">
            <v>Toma de incorporación de bronce</v>
          </cell>
          <cell r="D138" t="str">
            <v>u</v>
          </cell>
          <cell r="E138">
            <v>6.5</v>
          </cell>
          <cell r="G138">
            <v>6.5</v>
          </cell>
        </row>
        <row r="139">
          <cell r="A139">
            <v>130</v>
          </cell>
          <cell r="B139" t="str">
            <v>Tubería flex 1/2"</v>
          </cell>
          <cell r="D139" t="str">
            <v>m</v>
          </cell>
          <cell r="E139">
            <v>0.7</v>
          </cell>
          <cell r="G139">
            <v>0.7</v>
          </cell>
        </row>
        <row r="140">
          <cell r="A140">
            <v>131</v>
          </cell>
          <cell r="B140" t="str">
            <v>Tuberia pvc presión 2 1/2" incluye accesorios</v>
          </cell>
          <cell r="D140" t="str">
            <v>m</v>
          </cell>
          <cell r="E140">
            <v>8.5</v>
          </cell>
          <cell r="G140">
            <v>8.5</v>
          </cell>
        </row>
        <row r="141">
          <cell r="A141">
            <v>132</v>
          </cell>
          <cell r="B141" t="str">
            <v>Tubería pvc roscable 3/4" incluye accesorios</v>
          </cell>
          <cell r="D141" t="str">
            <v>m</v>
          </cell>
          <cell r="E141">
            <v>2.9</v>
          </cell>
          <cell r="G141">
            <v>2.9</v>
          </cell>
        </row>
        <row r="142">
          <cell r="A142">
            <v>133</v>
          </cell>
          <cell r="B142" t="str">
            <v>Tubería pvc presión 1" incluye accesorios</v>
          </cell>
          <cell r="D142" t="str">
            <v>m</v>
          </cell>
          <cell r="E142">
            <v>4.45</v>
          </cell>
          <cell r="G142">
            <v>4.45</v>
          </cell>
        </row>
        <row r="143">
          <cell r="A143">
            <v>134</v>
          </cell>
          <cell r="B143" t="str">
            <v>Tubería pvc roscable 1/2" incluye accesorios</v>
          </cell>
          <cell r="D143" t="str">
            <v>m</v>
          </cell>
          <cell r="E143">
            <v>1.95</v>
          </cell>
          <cell r="G143">
            <v>1.95</v>
          </cell>
        </row>
        <row r="144">
          <cell r="A144">
            <v>135</v>
          </cell>
          <cell r="B144" t="str">
            <v>Tubería E/C PVC 63mm  0,63MPa incluye accesorios</v>
          </cell>
          <cell r="D144" t="str">
            <v>m</v>
          </cell>
          <cell r="E144">
            <v>2.5</v>
          </cell>
          <cell r="G144">
            <v>2.5</v>
          </cell>
        </row>
        <row r="145">
          <cell r="A145">
            <v>136</v>
          </cell>
          <cell r="B145" t="str">
            <v>Tubería pvc roscable 1 1/2" incluye accesorios</v>
          </cell>
          <cell r="D145" t="str">
            <v>m</v>
          </cell>
          <cell r="E145">
            <v>8.35</v>
          </cell>
          <cell r="G145">
            <v>8.35</v>
          </cell>
        </row>
        <row r="146">
          <cell r="A146">
            <v>137</v>
          </cell>
          <cell r="B146" t="str">
            <v>Tubería pvc roscable 2" incluye accesorios</v>
          </cell>
          <cell r="D146" t="str">
            <v>m</v>
          </cell>
          <cell r="E146">
            <v>9.9</v>
          </cell>
          <cell r="G146">
            <v>9.9</v>
          </cell>
        </row>
        <row r="147">
          <cell r="A147">
            <v>138</v>
          </cell>
          <cell r="B147" t="str">
            <v>Abrazadera flex</v>
          </cell>
          <cell r="D147" t="str">
            <v>u</v>
          </cell>
          <cell r="E147">
            <v>1.5</v>
          </cell>
          <cell r="G147">
            <v>1.5</v>
          </cell>
        </row>
        <row r="148">
          <cell r="A148">
            <v>139</v>
          </cell>
          <cell r="B148" t="str">
            <v>Vitral puerta automática doble hoja con vidrio de 10mm para entrada #1</v>
          </cell>
          <cell r="D148" t="str">
            <v>Glb.</v>
          </cell>
          <cell r="E148">
            <v>2800</v>
          </cell>
          <cell r="G148">
            <v>2800</v>
          </cell>
        </row>
        <row r="149">
          <cell r="A149">
            <v>140</v>
          </cell>
          <cell r="B149" t="str">
            <v>Vitral puerta automática doble hoja con vidrio de 10mm para entrada #2</v>
          </cell>
          <cell r="D149" t="str">
            <v>Glb.</v>
          </cell>
          <cell r="E149">
            <v>2800</v>
          </cell>
          <cell r="G149">
            <v>2800</v>
          </cell>
        </row>
        <row r="150">
          <cell r="A150">
            <v>141</v>
          </cell>
          <cell r="B150" t="str">
            <v>Vitral puerta automática doble hoja con vidrio de 10mm para entrada #3</v>
          </cell>
          <cell r="D150" t="str">
            <v>Glb.</v>
          </cell>
          <cell r="E150">
            <v>2250</v>
          </cell>
          <cell r="G150">
            <v>2250</v>
          </cell>
        </row>
        <row r="151">
          <cell r="A151">
            <v>142</v>
          </cell>
          <cell r="B151" t="str">
            <v>UNIÓN ROSCABLE PVC PR DE 1 1/4"</v>
          </cell>
          <cell r="D151" t="str">
            <v>U</v>
          </cell>
          <cell r="E151">
            <v>0.6</v>
          </cell>
          <cell r="G151">
            <v>0.6</v>
          </cell>
        </row>
        <row r="152">
          <cell r="A152">
            <v>143</v>
          </cell>
          <cell r="B152" t="str">
            <v>UNIÓN UNIVERSAL PVC PR DE 1 1/4"</v>
          </cell>
          <cell r="D152" t="str">
            <v>U</v>
          </cell>
          <cell r="E152">
            <v>0.6</v>
          </cell>
          <cell r="G152">
            <v>0.6</v>
          </cell>
        </row>
        <row r="153">
          <cell r="A153">
            <v>144</v>
          </cell>
          <cell r="B153" t="str">
            <v>VÁLVULA CORTADORA ROSETA DE 1 1/4"" RW</v>
          </cell>
          <cell r="D153" t="str">
            <v>U</v>
          </cell>
          <cell r="E153">
            <v>25</v>
          </cell>
          <cell r="G153">
            <v>25</v>
          </cell>
        </row>
        <row r="154">
          <cell r="A154">
            <v>145</v>
          </cell>
          <cell r="B154" t="str">
            <v>VALVULA CHECK BRONCE DE 1 1/4"</v>
          </cell>
          <cell r="D154" t="str">
            <v>U</v>
          </cell>
          <cell r="E154">
            <v>30</v>
          </cell>
          <cell r="G154">
            <v>30</v>
          </cell>
        </row>
        <row r="155">
          <cell r="A155">
            <v>146</v>
          </cell>
          <cell r="B155" t="str">
            <v xml:space="preserve">REDUCTOR PVC-P U/Rc 1 1/4" -1 " </v>
          </cell>
          <cell r="D155" t="str">
            <v>U</v>
          </cell>
          <cell r="E155">
            <v>0.6</v>
          </cell>
          <cell r="G155">
            <v>0.6</v>
          </cell>
        </row>
        <row r="156">
          <cell r="A156">
            <v>147</v>
          </cell>
          <cell r="B156" t="str">
            <v xml:space="preserve">REDUCTOR PVC-P U/Rc 1 1/4" - 1/2" </v>
          </cell>
          <cell r="D156" t="str">
            <v>U</v>
          </cell>
          <cell r="E156">
            <v>0.6</v>
          </cell>
          <cell r="G156">
            <v>0.6</v>
          </cell>
        </row>
        <row r="157">
          <cell r="A157">
            <v>148</v>
          </cell>
          <cell r="B157" t="str">
            <v>VALVULA FLOTADORA BRONCE 1"</v>
          </cell>
          <cell r="D157" t="str">
            <v>U</v>
          </cell>
          <cell r="E157">
            <v>30</v>
          </cell>
          <cell r="G157">
            <v>30</v>
          </cell>
        </row>
        <row r="158">
          <cell r="A158">
            <v>149</v>
          </cell>
          <cell r="B158" t="str">
            <v>BOCAS DE CAMPANA  2"</v>
          </cell>
          <cell r="D158" t="str">
            <v>U</v>
          </cell>
          <cell r="E158">
            <v>5</v>
          </cell>
          <cell r="G158">
            <v>5</v>
          </cell>
        </row>
        <row r="159">
          <cell r="A159">
            <v>150</v>
          </cell>
          <cell r="B159" t="str">
            <v>TUBERÍA PVC PR DE 2"</v>
          </cell>
          <cell r="D159" t="str">
            <v>ML</v>
          </cell>
          <cell r="E159">
            <v>2</v>
          </cell>
          <cell r="G159">
            <v>2</v>
          </cell>
        </row>
        <row r="160">
          <cell r="A160">
            <v>151</v>
          </cell>
          <cell r="B160" t="str">
            <v>CODO PVC PR  DE 2" x 90°</v>
          </cell>
          <cell r="D160" t="str">
            <v>U</v>
          </cell>
          <cell r="E160">
            <v>1.6</v>
          </cell>
          <cell r="G160">
            <v>1.6</v>
          </cell>
        </row>
        <row r="161">
          <cell r="A161">
            <v>152</v>
          </cell>
          <cell r="B161" t="str">
            <v>UNION UNIVERSAL HG DE 2"</v>
          </cell>
          <cell r="D161" t="str">
            <v>U</v>
          </cell>
          <cell r="E161">
            <v>1.1000000000000001</v>
          </cell>
          <cell r="G161">
            <v>1.1000000000000001</v>
          </cell>
        </row>
        <row r="162">
          <cell r="A162">
            <v>153</v>
          </cell>
          <cell r="B162" t="str">
            <v>Tuberia pvc roscable 1 1/2" incluye accesorios</v>
          </cell>
          <cell r="D162" t="str">
            <v>M</v>
          </cell>
          <cell r="E162">
            <v>6.25</v>
          </cell>
          <cell r="G162">
            <v>6.25</v>
          </cell>
        </row>
        <row r="163">
          <cell r="A163">
            <v>154</v>
          </cell>
          <cell r="B163" t="str">
            <v>TEE PVC PR DE 2"</v>
          </cell>
          <cell r="D163" t="str">
            <v>U</v>
          </cell>
          <cell r="E163">
            <v>1.5</v>
          </cell>
          <cell r="G163">
            <v>1.5</v>
          </cell>
        </row>
        <row r="164">
          <cell r="A164">
            <v>155</v>
          </cell>
          <cell r="B164" t="str">
            <v>VALVULA CHECK HORIZONTAL DE BRONCE DE 2"</v>
          </cell>
          <cell r="D164" t="str">
            <v>U</v>
          </cell>
          <cell r="E164">
            <v>180</v>
          </cell>
          <cell r="G164">
            <v>180</v>
          </cell>
        </row>
        <row r="165">
          <cell r="A165">
            <v>156</v>
          </cell>
          <cell r="B165" t="str">
            <v>BOMBA SUMERGIBLE  Q=75.6 Lit/min. TDH=2.40m, P=0.33HP</v>
          </cell>
          <cell r="D165" t="str">
            <v>U</v>
          </cell>
          <cell r="E165">
            <v>300</v>
          </cell>
          <cell r="G165">
            <v>300</v>
          </cell>
        </row>
        <row r="166">
          <cell r="A166">
            <v>157</v>
          </cell>
          <cell r="B166" t="str">
            <v>REDUCTOR PVC PR DE 2" A 1"</v>
          </cell>
          <cell r="D166" t="str">
            <v>U</v>
          </cell>
          <cell r="E166">
            <v>1.4</v>
          </cell>
          <cell r="G166">
            <v>1.4</v>
          </cell>
        </row>
        <row r="167">
          <cell r="A167">
            <v>158</v>
          </cell>
          <cell r="B167" t="str">
            <v>ADAPTADOR HG - PVC 3"</v>
          </cell>
          <cell r="D167" t="str">
            <v>U</v>
          </cell>
          <cell r="E167">
            <v>8</v>
          </cell>
          <cell r="G167">
            <v>8</v>
          </cell>
        </row>
        <row r="168">
          <cell r="A168">
            <v>159</v>
          </cell>
          <cell r="B168" t="str">
            <v>ADAPTADOR HG - PVC 1 1/4"</v>
          </cell>
          <cell r="D168" t="str">
            <v>U</v>
          </cell>
          <cell r="E168">
            <v>2.5</v>
          </cell>
          <cell r="G168">
            <v>2.5</v>
          </cell>
        </row>
        <row r="169">
          <cell r="A169">
            <v>160</v>
          </cell>
          <cell r="B169" t="str">
            <v>BOMBA TDH=50.0m, P=5.5 HP</v>
          </cell>
          <cell r="D169" t="str">
            <v>U</v>
          </cell>
          <cell r="E169">
            <v>3000</v>
          </cell>
          <cell r="G169">
            <v>3000</v>
          </cell>
        </row>
        <row r="170">
          <cell r="A170">
            <v>161</v>
          </cell>
          <cell r="B170" t="str">
            <v>BOMBA Qbombeo=6 Lit/seg. TDH=50.0 m, P=10HP</v>
          </cell>
          <cell r="D170" t="str">
            <v>U</v>
          </cell>
          <cell r="E170">
            <v>5500</v>
          </cell>
          <cell r="G170">
            <v>5500</v>
          </cell>
        </row>
        <row r="171">
          <cell r="A171">
            <v>162</v>
          </cell>
          <cell r="B171" t="str">
            <v>SISTEMA DE TANQUES HIDRONEUMATICOS 120 GL.</v>
          </cell>
          <cell r="D171" t="str">
            <v>U</v>
          </cell>
          <cell r="E171">
            <v>320</v>
          </cell>
          <cell r="G171">
            <v>320</v>
          </cell>
        </row>
        <row r="172">
          <cell r="A172">
            <v>163</v>
          </cell>
          <cell r="B172" t="str">
            <v>CODO HG 90° x 1 1/4"</v>
          </cell>
          <cell r="D172" t="str">
            <v>U</v>
          </cell>
          <cell r="E172">
            <v>8</v>
          </cell>
          <cell r="G172">
            <v>8</v>
          </cell>
        </row>
        <row r="173">
          <cell r="A173">
            <v>164</v>
          </cell>
          <cell r="B173" t="str">
            <v>CODO HG 45° x 1"</v>
          </cell>
          <cell r="D173" t="str">
            <v>U</v>
          </cell>
          <cell r="E173">
            <v>8</v>
          </cell>
          <cell r="G173">
            <v>8</v>
          </cell>
        </row>
        <row r="174">
          <cell r="A174">
            <v>165</v>
          </cell>
          <cell r="B174" t="str">
            <v>CODO HG 90º x 1"</v>
          </cell>
          <cell r="D174" t="str">
            <v>U</v>
          </cell>
          <cell r="E174">
            <v>8</v>
          </cell>
          <cell r="G174">
            <v>8</v>
          </cell>
        </row>
        <row r="175">
          <cell r="A175">
            <v>166</v>
          </cell>
          <cell r="B175" t="str">
            <v xml:space="preserve">CODO HG DE 3" x 45º </v>
          </cell>
          <cell r="D175" t="str">
            <v>U</v>
          </cell>
          <cell r="E175">
            <v>16</v>
          </cell>
          <cell r="G175">
            <v>16</v>
          </cell>
        </row>
        <row r="176">
          <cell r="A176">
            <v>167</v>
          </cell>
          <cell r="B176" t="str">
            <v xml:space="preserve">CODO HG DE 3" x 90º </v>
          </cell>
          <cell r="D176" t="str">
            <v>U</v>
          </cell>
          <cell r="E176">
            <v>16</v>
          </cell>
          <cell r="G176">
            <v>16</v>
          </cell>
        </row>
        <row r="177">
          <cell r="A177">
            <v>168</v>
          </cell>
          <cell r="B177" t="str">
            <v xml:space="preserve">REDUCTOR HG 3" x 2" </v>
          </cell>
          <cell r="D177" t="str">
            <v>U</v>
          </cell>
          <cell r="E177">
            <v>16</v>
          </cell>
          <cell r="G177">
            <v>16</v>
          </cell>
        </row>
        <row r="178">
          <cell r="A178">
            <v>169</v>
          </cell>
          <cell r="B178" t="str">
            <v xml:space="preserve">REDUCTOR HG 1 1/2" x 3" </v>
          </cell>
          <cell r="D178" t="str">
            <v>U</v>
          </cell>
          <cell r="E178">
            <v>16</v>
          </cell>
          <cell r="G178">
            <v>16</v>
          </cell>
        </row>
        <row r="179">
          <cell r="A179">
            <v>170</v>
          </cell>
          <cell r="B179" t="str">
            <v>Tubo rígido metálico de 1 1/2''</v>
          </cell>
          <cell r="D179" t="str">
            <v>ml</v>
          </cell>
          <cell r="E179">
            <v>40</v>
          </cell>
          <cell r="G179">
            <v>40</v>
          </cell>
        </row>
        <row r="180">
          <cell r="A180">
            <v>171</v>
          </cell>
          <cell r="B180" t="str">
            <v>Tubo rígido metálico de 2''</v>
          </cell>
          <cell r="D180" t="str">
            <v>ml</v>
          </cell>
          <cell r="E180">
            <v>52</v>
          </cell>
          <cell r="G180">
            <v>52</v>
          </cell>
        </row>
        <row r="181">
          <cell r="A181">
            <v>172</v>
          </cell>
          <cell r="B181" t="str">
            <v>Tubo rígido metálico de 4''</v>
          </cell>
          <cell r="D181" t="str">
            <v>ml</v>
          </cell>
          <cell r="E181">
            <v>88</v>
          </cell>
          <cell r="G181">
            <v>88</v>
          </cell>
        </row>
        <row r="182">
          <cell r="A182">
            <v>173</v>
          </cell>
          <cell r="B182" t="str">
            <v>Soldadura 70/18</v>
          </cell>
          <cell r="D182" t="str">
            <v>Kg</v>
          </cell>
          <cell r="E182">
            <v>4.0999999999999996</v>
          </cell>
          <cell r="G182">
            <v>4.0999999999999996</v>
          </cell>
        </row>
        <row r="183">
          <cell r="A183">
            <v>174</v>
          </cell>
          <cell r="B183" t="str">
            <v>Soldadura 60/11</v>
          </cell>
          <cell r="D183" t="str">
            <v>Kg</v>
          </cell>
          <cell r="E183">
            <v>3.4</v>
          </cell>
          <cell r="G183">
            <v>3.4</v>
          </cell>
        </row>
        <row r="184">
          <cell r="A184">
            <v>175</v>
          </cell>
          <cell r="B184" t="str">
            <v>UNION UNIVERSAL HG  1 1/4"</v>
          </cell>
          <cell r="D184" t="str">
            <v>U</v>
          </cell>
          <cell r="E184">
            <v>1</v>
          </cell>
          <cell r="G184">
            <v>1</v>
          </cell>
        </row>
        <row r="185">
          <cell r="A185">
            <v>176</v>
          </cell>
          <cell r="B185" t="str">
            <v>UNIÓN UNIVERSAL PVC PR DE 1"</v>
          </cell>
          <cell r="D185" t="str">
            <v>U</v>
          </cell>
          <cell r="E185">
            <v>0.6</v>
          </cell>
          <cell r="G185">
            <v>0.6</v>
          </cell>
        </row>
        <row r="186">
          <cell r="A186">
            <v>177</v>
          </cell>
          <cell r="B186" t="str">
            <v>UNION RIGIDA DE 3"</v>
          </cell>
          <cell r="D186" t="str">
            <v>U</v>
          </cell>
          <cell r="E186">
            <v>17</v>
          </cell>
          <cell r="G186">
            <v>17</v>
          </cell>
        </row>
        <row r="187">
          <cell r="A187">
            <v>178</v>
          </cell>
          <cell r="B187" t="str">
            <v>VÁLVULA CORTADORA ROSETA DE 1" RW</v>
          </cell>
          <cell r="D187" t="str">
            <v>U</v>
          </cell>
          <cell r="E187">
            <v>25</v>
          </cell>
          <cell r="G187">
            <v>25</v>
          </cell>
        </row>
        <row r="188">
          <cell r="A188">
            <v>179</v>
          </cell>
          <cell r="B188" t="str">
            <v xml:space="preserve">VÁLVULA CORTADORA DE ROSETA DE 2 1/2" RW </v>
          </cell>
          <cell r="D188" t="str">
            <v>U</v>
          </cell>
          <cell r="E188">
            <v>160</v>
          </cell>
          <cell r="G188">
            <v>160</v>
          </cell>
        </row>
        <row r="189">
          <cell r="A189">
            <v>180</v>
          </cell>
          <cell r="B189" t="str">
            <v xml:space="preserve">VÁLVULA CORTADORA DE ROSETA DE 3" RW </v>
          </cell>
          <cell r="D189" t="str">
            <v>U</v>
          </cell>
          <cell r="E189">
            <v>300</v>
          </cell>
          <cell r="G189">
            <v>300</v>
          </cell>
        </row>
        <row r="190">
          <cell r="A190">
            <v>181</v>
          </cell>
          <cell r="B190" t="str">
            <v xml:space="preserve">VÁLVULA DE PIE CON REJILLA  1 1/4" </v>
          </cell>
          <cell r="D190" t="str">
            <v>U</v>
          </cell>
          <cell r="E190">
            <v>45</v>
          </cell>
          <cell r="G190">
            <v>45</v>
          </cell>
        </row>
        <row r="191">
          <cell r="A191">
            <v>182</v>
          </cell>
          <cell r="B191" t="str">
            <v>VÁLVULA DE PIE CON REJILLA  3" BRONCE</v>
          </cell>
          <cell r="D191" t="str">
            <v>U</v>
          </cell>
          <cell r="E191">
            <v>320</v>
          </cell>
          <cell r="G191">
            <v>320</v>
          </cell>
        </row>
        <row r="192">
          <cell r="A192">
            <v>183</v>
          </cell>
          <cell r="B192" t="str">
            <v>VALVULA CHECK HORIZONTAL BRONCE DE 1"</v>
          </cell>
          <cell r="D192" t="str">
            <v>U</v>
          </cell>
          <cell r="E192">
            <v>30</v>
          </cell>
          <cell r="G192">
            <v>30</v>
          </cell>
        </row>
        <row r="193">
          <cell r="A193">
            <v>184</v>
          </cell>
          <cell r="B193" t="str">
            <v>VALVULA CHECK HORIZONTAL BRONCE DE 2 1/2"</v>
          </cell>
          <cell r="D193" t="str">
            <v>U</v>
          </cell>
          <cell r="E193">
            <v>180</v>
          </cell>
          <cell r="G193">
            <v>180</v>
          </cell>
        </row>
        <row r="194">
          <cell r="A194">
            <v>185</v>
          </cell>
          <cell r="B194" t="str">
            <v>VALVULA CHECK HORIZONTAL BRONCE DE 3"</v>
          </cell>
          <cell r="D194" t="str">
            <v>U</v>
          </cell>
          <cell r="E194">
            <v>320</v>
          </cell>
          <cell r="G194">
            <v>320</v>
          </cell>
        </row>
        <row r="195">
          <cell r="A195">
            <v>186</v>
          </cell>
          <cell r="B195" t="str">
            <v>MANÓMETRO ANTIVIBRATORIO DE 0-200 PSI</v>
          </cell>
          <cell r="D195" t="str">
            <v>U</v>
          </cell>
          <cell r="E195">
            <v>60</v>
          </cell>
          <cell r="G195">
            <v>60</v>
          </cell>
        </row>
        <row r="196">
          <cell r="A196">
            <v>187</v>
          </cell>
          <cell r="B196" t="str">
            <v>ARRANCADOR DOBLE PARA MOTOR 1.0 HP 220 V</v>
          </cell>
          <cell r="D196" t="str">
            <v>U</v>
          </cell>
          <cell r="E196">
            <v>80</v>
          </cell>
          <cell r="G196">
            <v>80</v>
          </cell>
        </row>
        <row r="197">
          <cell r="A197">
            <v>188</v>
          </cell>
          <cell r="B197" t="str">
            <v xml:space="preserve">ARRANCADOR DOBLE PARA MOTOR 10 HP 220 V </v>
          </cell>
          <cell r="D197" t="str">
            <v>U</v>
          </cell>
          <cell r="E197">
            <v>160</v>
          </cell>
          <cell r="G197">
            <v>160</v>
          </cell>
        </row>
        <row r="198">
          <cell r="A198">
            <v>189</v>
          </cell>
          <cell r="B198" t="str">
            <v>SWITCH AUTOMÁTICO DE PRESIÓN SQUARD USA DIFERENCIAL 20 PSI MÁXIMO 220 PSI</v>
          </cell>
          <cell r="D198" t="str">
            <v>U</v>
          </cell>
          <cell r="E198">
            <v>200</v>
          </cell>
          <cell r="G198">
            <v>200</v>
          </cell>
        </row>
        <row r="199">
          <cell r="A199">
            <v>190</v>
          </cell>
          <cell r="B199" t="str">
            <v xml:space="preserve">CODO LR E-UZ  90º x 63 mm </v>
          </cell>
          <cell r="D199" t="str">
            <v>U</v>
          </cell>
          <cell r="E199">
            <v>6.5</v>
          </cell>
          <cell r="G199">
            <v>6.5</v>
          </cell>
        </row>
        <row r="200">
          <cell r="A200">
            <v>191</v>
          </cell>
          <cell r="B200" t="str">
            <v>CODO PVC PR  DE 2" x 90°</v>
          </cell>
          <cell r="D200" t="str">
            <v>U</v>
          </cell>
          <cell r="E200">
            <v>1.6</v>
          </cell>
          <cell r="G200">
            <v>1.6</v>
          </cell>
        </row>
        <row r="201">
          <cell r="A201">
            <v>192</v>
          </cell>
          <cell r="B201" t="str">
            <v>CODO PVC PR  DE 1 1/2" x 90°</v>
          </cell>
          <cell r="D201" t="str">
            <v>U</v>
          </cell>
          <cell r="E201">
            <v>1.5</v>
          </cell>
          <cell r="G201">
            <v>1.5</v>
          </cell>
        </row>
        <row r="202">
          <cell r="A202">
            <v>193</v>
          </cell>
          <cell r="B202" t="str">
            <v>CODO PVC PR  DE 1" x 90°</v>
          </cell>
          <cell r="D202" t="str">
            <v>U</v>
          </cell>
          <cell r="E202">
            <v>0.4</v>
          </cell>
          <cell r="G202">
            <v>0.4</v>
          </cell>
        </row>
        <row r="203">
          <cell r="A203">
            <v>194</v>
          </cell>
          <cell r="B203" t="str">
            <v>CODO PVC PR  DE 3/4" x 90°</v>
          </cell>
          <cell r="D203" t="str">
            <v>U</v>
          </cell>
          <cell r="E203">
            <v>0.3</v>
          </cell>
          <cell r="G203">
            <v>0.3</v>
          </cell>
        </row>
        <row r="204">
          <cell r="A204">
            <v>195</v>
          </cell>
          <cell r="B204" t="str">
            <v>CODO PVC PR  DE 1/2" x 90°</v>
          </cell>
          <cell r="D204" t="str">
            <v>U</v>
          </cell>
          <cell r="E204">
            <v>0.3</v>
          </cell>
          <cell r="G204">
            <v>0.3</v>
          </cell>
        </row>
        <row r="205">
          <cell r="A205">
            <v>196</v>
          </cell>
          <cell r="B205" t="str">
            <v>CONTADOR 1" CHORRO UNICO</v>
          </cell>
          <cell r="D205" t="str">
            <v>U</v>
          </cell>
          <cell r="E205">
            <v>30</v>
          </cell>
          <cell r="G205">
            <v>30</v>
          </cell>
        </row>
        <row r="206">
          <cell r="A206">
            <v>197</v>
          </cell>
          <cell r="B206" t="str">
            <v>CONTADOR 3/4" CHORRO UNICO</v>
          </cell>
          <cell r="D206" t="str">
            <v>U</v>
          </cell>
          <cell r="E206">
            <v>25</v>
          </cell>
          <cell r="G206">
            <v>25</v>
          </cell>
        </row>
        <row r="207">
          <cell r="A207">
            <v>198</v>
          </cell>
          <cell r="B207" t="str">
            <v>CONTADOR 1/2" CHORRO UNICO</v>
          </cell>
          <cell r="D207" t="str">
            <v>U</v>
          </cell>
          <cell r="E207">
            <v>25</v>
          </cell>
          <cell r="G207">
            <v>25</v>
          </cell>
        </row>
        <row r="208">
          <cell r="A208">
            <v>199</v>
          </cell>
          <cell r="B208" t="str">
            <v>REDUCTOR BUSHING PVC PR 2 1/2" A 2"</v>
          </cell>
          <cell r="D208" t="str">
            <v>U</v>
          </cell>
          <cell r="E208">
            <v>2.5</v>
          </cell>
          <cell r="G208">
            <v>2.5</v>
          </cell>
        </row>
        <row r="209">
          <cell r="A209">
            <v>200</v>
          </cell>
          <cell r="B209" t="str">
            <v>REDUCTOR BUSHING PVC PR 2" A 1 1/2"</v>
          </cell>
          <cell r="D209" t="str">
            <v>U</v>
          </cell>
          <cell r="E209">
            <v>1.2</v>
          </cell>
          <cell r="G209">
            <v>1.2</v>
          </cell>
        </row>
        <row r="210">
          <cell r="A210">
            <v>201</v>
          </cell>
          <cell r="B210" t="str">
            <v>REDUCTOR BUSHING PVC PR 2" A 3/4"</v>
          </cell>
          <cell r="D210" t="str">
            <v>U</v>
          </cell>
          <cell r="E210">
            <v>1.1000000000000001</v>
          </cell>
          <cell r="G210">
            <v>1.1000000000000001</v>
          </cell>
        </row>
        <row r="211">
          <cell r="A211">
            <v>202</v>
          </cell>
          <cell r="B211" t="str">
            <v>REDUCTOR PVC PR DE 2" A 1"</v>
          </cell>
          <cell r="D211" t="str">
            <v>U</v>
          </cell>
          <cell r="E211">
            <v>2</v>
          </cell>
          <cell r="G211">
            <v>2</v>
          </cell>
        </row>
        <row r="212">
          <cell r="A212">
            <v>203</v>
          </cell>
          <cell r="B212" t="str">
            <v>REDUCTOR PVC PR DE 1 1/2" A 1"</v>
          </cell>
          <cell r="D212" t="str">
            <v>U</v>
          </cell>
          <cell r="E212">
            <v>1.2</v>
          </cell>
          <cell r="G212">
            <v>1.2</v>
          </cell>
        </row>
        <row r="213">
          <cell r="A213">
            <v>204</v>
          </cell>
          <cell r="B213" t="str">
            <v>REDUCTOR PVC PR DE 1 1/2" A 3/4"</v>
          </cell>
          <cell r="D213" t="str">
            <v>U</v>
          </cell>
          <cell r="E213">
            <v>1.2</v>
          </cell>
          <cell r="G213">
            <v>1.2</v>
          </cell>
        </row>
        <row r="214">
          <cell r="A214">
            <v>205</v>
          </cell>
          <cell r="B214" t="str">
            <v>REDUCTOR PVC PR DE 1" A 3/4"</v>
          </cell>
          <cell r="D214" t="str">
            <v>U</v>
          </cell>
          <cell r="E214">
            <v>1.1000000000000001</v>
          </cell>
          <cell r="G214">
            <v>1.1000000000000001</v>
          </cell>
        </row>
        <row r="215">
          <cell r="A215">
            <v>206</v>
          </cell>
          <cell r="B215" t="str">
            <v>REDUCTOR PVC PR DE 1" A 1/2"</v>
          </cell>
          <cell r="D215" t="str">
            <v>U</v>
          </cell>
          <cell r="E215">
            <v>1.1000000000000001</v>
          </cell>
          <cell r="G215">
            <v>1.1000000000000001</v>
          </cell>
        </row>
        <row r="216">
          <cell r="A216">
            <v>207</v>
          </cell>
          <cell r="B216" t="str">
            <v>REDUCTOR PVC PR DE 3/4" A 1/2"</v>
          </cell>
          <cell r="D216" t="str">
            <v>U</v>
          </cell>
          <cell r="E216">
            <v>1</v>
          </cell>
          <cell r="G216">
            <v>1</v>
          </cell>
        </row>
        <row r="217">
          <cell r="A217">
            <v>208</v>
          </cell>
          <cell r="B217" t="str">
            <v>TEE PVC UZ 63mm (2 1/2")</v>
          </cell>
          <cell r="D217" t="str">
            <v>U</v>
          </cell>
          <cell r="E217">
            <v>22</v>
          </cell>
          <cell r="G217">
            <v>22</v>
          </cell>
        </row>
        <row r="218">
          <cell r="A218">
            <v>209</v>
          </cell>
          <cell r="B218" t="str">
            <v>TEE PVC PR DE 2"</v>
          </cell>
          <cell r="D218" t="str">
            <v>U</v>
          </cell>
          <cell r="E218">
            <v>1.5</v>
          </cell>
          <cell r="G218">
            <v>1.5</v>
          </cell>
        </row>
        <row r="219">
          <cell r="A219">
            <v>210</v>
          </cell>
          <cell r="B219" t="str">
            <v>TEE PVC PR DE 1 1/2"</v>
          </cell>
          <cell r="D219" t="str">
            <v>U</v>
          </cell>
          <cell r="E219">
            <v>1.8</v>
          </cell>
          <cell r="G219">
            <v>1.8</v>
          </cell>
        </row>
        <row r="220">
          <cell r="A220">
            <v>211</v>
          </cell>
          <cell r="B220" t="str">
            <v>TEE PVC PR DE 1"</v>
          </cell>
          <cell r="D220" t="str">
            <v>U</v>
          </cell>
          <cell r="E220">
            <v>0.75</v>
          </cell>
          <cell r="G220">
            <v>0.75</v>
          </cell>
        </row>
        <row r="221">
          <cell r="A221">
            <v>212</v>
          </cell>
          <cell r="B221" t="str">
            <v>TEE PVC PR DE 3/4"</v>
          </cell>
          <cell r="D221" t="str">
            <v>U</v>
          </cell>
          <cell r="E221">
            <v>0.5</v>
          </cell>
          <cell r="G221">
            <v>0.5</v>
          </cell>
        </row>
        <row r="222">
          <cell r="A222">
            <v>213</v>
          </cell>
          <cell r="B222" t="str">
            <v>TEE PVC PR DE 1/2"</v>
          </cell>
          <cell r="D222" t="str">
            <v>U</v>
          </cell>
          <cell r="E222">
            <v>0.4</v>
          </cell>
          <cell r="G222">
            <v>0.4</v>
          </cell>
        </row>
        <row r="223">
          <cell r="A223">
            <v>214</v>
          </cell>
          <cell r="B223" t="str">
            <v>TUBERÍA PVC UPSE 63mm 1,00MPa(2 1/2")</v>
          </cell>
          <cell r="D223" t="str">
            <v>ML</v>
          </cell>
          <cell r="E223">
            <v>4</v>
          </cell>
          <cell r="G223">
            <v>4</v>
          </cell>
        </row>
        <row r="224">
          <cell r="A224">
            <v>215</v>
          </cell>
          <cell r="B224" t="str">
            <v>TUBERÍA PVC PR DE 2"</v>
          </cell>
          <cell r="D224" t="str">
            <v>ML</v>
          </cell>
          <cell r="E224">
            <v>2.5</v>
          </cell>
          <cell r="G224">
            <v>2.5</v>
          </cell>
        </row>
        <row r="225">
          <cell r="A225">
            <v>216</v>
          </cell>
          <cell r="B225" t="str">
            <v>TUBERÍA PVC PR DE 1 1/2"</v>
          </cell>
          <cell r="D225" t="str">
            <v>ML</v>
          </cell>
          <cell r="E225">
            <v>2</v>
          </cell>
          <cell r="G225">
            <v>2</v>
          </cell>
        </row>
        <row r="226">
          <cell r="A226">
            <v>217</v>
          </cell>
          <cell r="B226" t="str">
            <v>Tubería  PVC 4" inc. accesorios</v>
          </cell>
          <cell r="D226" t="str">
            <v>ml</v>
          </cell>
          <cell r="E226">
            <v>6</v>
          </cell>
          <cell r="G226">
            <v>6</v>
          </cell>
        </row>
        <row r="227">
          <cell r="A227">
            <v>218</v>
          </cell>
          <cell r="B227" t="str">
            <v>Tubería PVC de 3/4" inc. Accesorios</v>
          </cell>
          <cell r="D227" t="str">
            <v>ml</v>
          </cell>
          <cell r="E227">
            <v>1.4</v>
          </cell>
          <cell r="G227">
            <v>1.4</v>
          </cell>
        </row>
        <row r="228">
          <cell r="A228">
            <v>219</v>
          </cell>
          <cell r="B228" t="str">
            <v>TUBERIA PVC PR DE 1/2"</v>
          </cell>
          <cell r="D228" t="str">
            <v>ML</v>
          </cell>
          <cell r="E228">
            <v>0.9</v>
          </cell>
          <cell r="G228">
            <v>0.9</v>
          </cell>
        </row>
        <row r="229">
          <cell r="A229">
            <v>220</v>
          </cell>
          <cell r="B229" t="str">
            <v>TAPÓN ROSCABLE MACHO DE 1/2"</v>
          </cell>
          <cell r="D229" t="str">
            <v>U</v>
          </cell>
          <cell r="E229">
            <v>0.4</v>
          </cell>
          <cell r="G229">
            <v>0.4</v>
          </cell>
        </row>
        <row r="230">
          <cell r="A230">
            <v>221</v>
          </cell>
          <cell r="B230" t="str">
            <v>TAPÓN ROSCABLE MACHO DE 3/4"</v>
          </cell>
          <cell r="D230" t="str">
            <v>U</v>
          </cell>
          <cell r="E230">
            <v>0.5</v>
          </cell>
          <cell r="G230">
            <v>0.5</v>
          </cell>
        </row>
        <row r="231">
          <cell r="A231">
            <v>222</v>
          </cell>
          <cell r="B231" t="str">
            <v>TAPÓN ROSCABLE MACHO DE 1"</v>
          </cell>
          <cell r="D231" t="str">
            <v>U</v>
          </cell>
          <cell r="E231">
            <v>0.9</v>
          </cell>
          <cell r="G231">
            <v>0.9</v>
          </cell>
        </row>
        <row r="232">
          <cell r="A232">
            <v>223</v>
          </cell>
          <cell r="B232" t="str">
            <v>UNIÓN ROSCABLE PVC PR DE 2"</v>
          </cell>
          <cell r="D232" t="str">
            <v>U</v>
          </cell>
          <cell r="E232">
            <v>2.6</v>
          </cell>
          <cell r="G232">
            <v>2.6</v>
          </cell>
        </row>
        <row r="233">
          <cell r="A233">
            <v>224</v>
          </cell>
          <cell r="B233" t="str">
            <v>UNIÓN ROSCABLE PVC PR DE 1 1/2"</v>
          </cell>
          <cell r="D233" t="str">
            <v>U</v>
          </cell>
          <cell r="E233">
            <v>2.25</v>
          </cell>
          <cell r="G233">
            <v>2.25</v>
          </cell>
        </row>
        <row r="234">
          <cell r="A234">
            <v>225</v>
          </cell>
          <cell r="B234" t="str">
            <v>UNIÓN ROSCABLE PVC PR DE 1"</v>
          </cell>
          <cell r="D234" t="str">
            <v>U</v>
          </cell>
          <cell r="E234">
            <v>1.2</v>
          </cell>
          <cell r="G234">
            <v>1.2</v>
          </cell>
        </row>
        <row r="235">
          <cell r="A235">
            <v>226</v>
          </cell>
          <cell r="B235" t="str">
            <v>UNIÓN ROSCABLE PVC PR DE 3/4"</v>
          </cell>
          <cell r="D235" t="str">
            <v>U</v>
          </cell>
          <cell r="E235">
            <v>0.6</v>
          </cell>
          <cell r="G235">
            <v>0.6</v>
          </cell>
        </row>
        <row r="236">
          <cell r="A236">
            <v>227</v>
          </cell>
          <cell r="B236" t="str">
            <v>UNIÓN ROSCABLE PVC PR DE 1/2"</v>
          </cell>
          <cell r="D236" t="str">
            <v>U</v>
          </cell>
          <cell r="E236">
            <v>0.4</v>
          </cell>
          <cell r="G236">
            <v>0.4</v>
          </cell>
        </row>
        <row r="237">
          <cell r="A237">
            <v>228</v>
          </cell>
          <cell r="B237" t="str">
            <v>UNIÓN UNIVERSAL PVC PR DE 1"</v>
          </cell>
          <cell r="D237" t="str">
            <v>U</v>
          </cell>
          <cell r="E237">
            <v>3.8</v>
          </cell>
          <cell r="G237">
            <v>3.8</v>
          </cell>
        </row>
        <row r="238">
          <cell r="A238">
            <v>229</v>
          </cell>
          <cell r="B238" t="str">
            <v>UNIÓN UNIVERSAL PVC PR DE 3/4"</v>
          </cell>
          <cell r="D238" t="str">
            <v>U</v>
          </cell>
          <cell r="E238">
            <v>1.8</v>
          </cell>
          <cell r="G238">
            <v>1.8</v>
          </cell>
        </row>
        <row r="239">
          <cell r="A239">
            <v>230</v>
          </cell>
          <cell r="B239" t="str">
            <v>UNIÓN UNIVERSAL PVC PR DE 1/2"</v>
          </cell>
          <cell r="D239" t="str">
            <v>U</v>
          </cell>
          <cell r="E239">
            <v>1.2</v>
          </cell>
          <cell r="G239">
            <v>1.2</v>
          </cell>
        </row>
        <row r="240">
          <cell r="A240">
            <v>231</v>
          </cell>
          <cell r="B240" t="str">
            <v>VÁLVULA CORTADORA ROSETA DE 1" RW</v>
          </cell>
          <cell r="D240" t="str">
            <v>U</v>
          </cell>
          <cell r="E240">
            <v>25</v>
          </cell>
          <cell r="G240">
            <v>25</v>
          </cell>
        </row>
        <row r="241">
          <cell r="A241">
            <v>232</v>
          </cell>
          <cell r="B241" t="str">
            <v>VÁLVULA CORTADORA ROSETA DE 3/4" RW</v>
          </cell>
          <cell r="D241" t="str">
            <v>U</v>
          </cell>
          <cell r="E241">
            <v>22.5</v>
          </cell>
          <cell r="G241">
            <v>22.5</v>
          </cell>
        </row>
        <row r="242">
          <cell r="A242">
            <v>233</v>
          </cell>
          <cell r="B242" t="str">
            <v xml:space="preserve">VÁLVULA CORTADORA ROSETA DE 1/2" RW </v>
          </cell>
          <cell r="D242" t="str">
            <v>U</v>
          </cell>
          <cell r="E242">
            <v>20</v>
          </cell>
          <cell r="G242">
            <v>20</v>
          </cell>
        </row>
        <row r="243">
          <cell r="A243">
            <v>234</v>
          </cell>
          <cell r="B243" t="str">
            <v>VALVULA REGULADORA DE PRESION DE 40 PSI DE 3/4"</v>
          </cell>
          <cell r="D243" t="str">
            <v>U</v>
          </cell>
          <cell r="E243">
            <v>25</v>
          </cell>
          <cell r="G243">
            <v>25</v>
          </cell>
        </row>
        <row r="244">
          <cell r="A244">
            <v>235</v>
          </cell>
          <cell r="B244" t="str">
            <v xml:space="preserve">CODO HG DE 3" x 90º </v>
          </cell>
          <cell r="D244" t="str">
            <v>U</v>
          </cell>
          <cell r="E244">
            <v>16</v>
          </cell>
          <cell r="G244">
            <v>16</v>
          </cell>
        </row>
        <row r="245">
          <cell r="A245">
            <v>236</v>
          </cell>
          <cell r="B245" t="str">
            <v>CODO HG 90°  2"</v>
          </cell>
          <cell r="D245" t="str">
            <v>U</v>
          </cell>
          <cell r="E245">
            <v>10</v>
          </cell>
          <cell r="G245">
            <v>10</v>
          </cell>
        </row>
        <row r="246">
          <cell r="A246">
            <v>237</v>
          </cell>
          <cell r="B246" t="str">
            <v>CODO HG 90°  1-1/2"</v>
          </cell>
          <cell r="D246" t="str">
            <v>U</v>
          </cell>
          <cell r="E246">
            <v>8</v>
          </cell>
          <cell r="G246">
            <v>8</v>
          </cell>
        </row>
        <row r="247">
          <cell r="A247">
            <v>238</v>
          </cell>
          <cell r="B247" t="str">
            <v>Gabinete contra incendios</v>
          </cell>
          <cell r="D247" t="str">
            <v>U</v>
          </cell>
          <cell r="E247">
            <v>1105</v>
          </cell>
          <cell r="G247">
            <v>1105</v>
          </cell>
        </row>
        <row r="248">
          <cell r="A248">
            <v>239</v>
          </cell>
          <cell r="B248" t="str">
            <v xml:space="preserve">REDUCTOR HG 3" x 2" </v>
          </cell>
          <cell r="D248" t="str">
            <v>U</v>
          </cell>
          <cell r="E248">
            <v>16</v>
          </cell>
          <cell r="G248">
            <v>16</v>
          </cell>
        </row>
        <row r="249">
          <cell r="A249">
            <v>240</v>
          </cell>
          <cell r="B249" t="str">
            <v xml:space="preserve">REDUCTOR HG 2" x 1 1/2" </v>
          </cell>
          <cell r="D249" t="str">
            <v>U</v>
          </cell>
          <cell r="E249">
            <v>10</v>
          </cell>
          <cell r="G249">
            <v>10</v>
          </cell>
        </row>
        <row r="250">
          <cell r="A250">
            <v>241</v>
          </cell>
          <cell r="B250" t="str">
            <v>TEE HG 3"</v>
          </cell>
          <cell r="D250" t="str">
            <v>U</v>
          </cell>
          <cell r="E250">
            <v>20</v>
          </cell>
          <cell r="G250">
            <v>20</v>
          </cell>
        </row>
        <row r="251">
          <cell r="A251">
            <v>242</v>
          </cell>
          <cell r="B251" t="str">
            <v xml:space="preserve">TUBERIA HG  ASTM A-120 DE 3" </v>
          </cell>
          <cell r="D251" t="str">
            <v>ML</v>
          </cell>
          <cell r="E251">
            <v>12</v>
          </cell>
          <cell r="G251">
            <v>12</v>
          </cell>
        </row>
        <row r="252">
          <cell r="A252">
            <v>243</v>
          </cell>
          <cell r="B252" t="str">
            <v xml:space="preserve">TUBERIA HG  ASTM A-120 DE 2" </v>
          </cell>
          <cell r="D252" t="str">
            <v>ML</v>
          </cell>
          <cell r="E252">
            <v>10</v>
          </cell>
          <cell r="G252">
            <v>10</v>
          </cell>
        </row>
        <row r="253">
          <cell r="A253">
            <v>244</v>
          </cell>
          <cell r="B253" t="str">
            <v xml:space="preserve">TUBERIA HG ASTM A-120 1 1/2" </v>
          </cell>
          <cell r="D253" t="str">
            <v>ML</v>
          </cell>
          <cell r="E253">
            <v>8</v>
          </cell>
          <cell r="G253">
            <v>8</v>
          </cell>
        </row>
        <row r="254">
          <cell r="A254">
            <v>245</v>
          </cell>
          <cell r="B254" t="str">
            <v>VALVULA CHECK HORIZONTAL BRONCE DE 3"</v>
          </cell>
          <cell r="D254" t="str">
            <v>U</v>
          </cell>
          <cell r="E254">
            <v>320</v>
          </cell>
          <cell r="G254">
            <v>320</v>
          </cell>
        </row>
        <row r="255">
          <cell r="A255">
            <v>246</v>
          </cell>
          <cell r="B255" t="str">
            <v>VÁLVULA CORTADORA DE ROSETA RW DE 3"</v>
          </cell>
          <cell r="D255" t="str">
            <v>U</v>
          </cell>
          <cell r="E255">
            <v>300</v>
          </cell>
          <cell r="G255">
            <v>300</v>
          </cell>
        </row>
        <row r="256">
          <cell r="A256">
            <v>247</v>
          </cell>
          <cell r="B256" t="str">
            <v xml:space="preserve">VÁLVULA CORTADORA DE ROSETA DE 2" RW </v>
          </cell>
          <cell r="D256" t="str">
            <v>U</v>
          </cell>
          <cell r="E256">
            <v>160</v>
          </cell>
          <cell r="G256">
            <v>160</v>
          </cell>
        </row>
        <row r="257">
          <cell r="A257">
            <v>248</v>
          </cell>
          <cell r="B257" t="str">
            <v>TEFLON</v>
          </cell>
          <cell r="D257" t="str">
            <v>ROLLO</v>
          </cell>
          <cell r="E257">
            <v>0.4</v>
          </cell>
          <cell r="G257">
            <v>0.4</v>
          </cell>
        </row>
        <row r="258">
          <cell r="A258">
            <v>249</v>
          </cell>
          <cell r="B258" t="str">
            <v>PERMATEX (11 ONZ.)</v>
          </cell>
          <cell r="D258" t="str">
            <v>U</v>
          </cell>
          <cell r="E258">
            <v>4</v>
          </cell>
          <cell r="G258">
            <v>4</v>
          </cell>
        </row>
        <row r="259">
          <cell r="A259">
            <v>250</v>
          </cell>
          <cell r="B259" t="str">
            <v>SENSOR ELECTRICO PARA NIVEL</v>
          </cell>
          <cell r="D259" t="str">
            <v>U</v>
          </cell>
          <cell r="E259">
            <v>300</v>
          </cell>
          <cell r="G259">
            <v>300</v>
          </cell>
        </row>
        <row r="260">
          <cell r="A260">
            <v>251</v>
          </cell>
          <cell r="B260" t="str">
            <v>PUERTA METALICA</v>
          </cell>
          <cell r="D260" t="str">
            <v>U</v>
          </cell>
          <cell r="E260">
            <v>200</v>
          </cell>
          <cell r="G260">
            <v>200</v>
          </cell>
        </row>
        <row r="261">
          <cell r="A261">
            <v>252</v>
          </cell>
          <cell r="B261" t="str">
            <v>Bloque de alivianamiento 40x20x10</v>
          </cell>
          <cell r="D261" t="str">
            <v>U</v>
          </cell>
          <cell r="E261">
            <v>0.4</v>
          </cell>
          <cell r="G261">
            <v>0.4</v>
          </cell>
        </row>
        <row r="262">
          <cell r="A262">
            <v>253</v>
          </cell>
          <cell r="B262" t="str">
            <v>REJILLA DE AZUD 31X15</v>
          </cell>
          <cell r="D262" t="str">
            <v>U</v>
          </cell>
          <cell r="E262">
            <v>60</v>
          </cell>
          <cell r="G262">
            <v>60</v>
          </cell>
        </row>
        <row r="263">
          <cell r="A263">
            <v>254</v>
          </cell>
          <cell r="B263" t="str">
            <v>TUBERIA PVC 110 MM</v>
          </cell>
          <cell r="D263" t="str">
            <v>ML</v>
          </cell>
          <cell r="E263">
            <v>10</v>
          </cell>
          <cell r="G263">
            <v>10</v>
          </cell>
        </row>
        <row r="264">
          <cell r="A264">
            <v>255</v>
          </cell>
          <cell r="B264" t="str">
            <v>TUBERIA PVC 50 MM</v>
          </cell>
          <cell r="D264" t="str">
            <v>ML</v>
          </cell>
          <cell r="E264">
            <v>2.5</v>
          </cell>
          <cell r="G264">
            <v>2.5</v>
          </cell>
        </row>
        <row r="265">
          <cell r="A265">
            <v>256</v>
          </cell>
          <cell r="B265" t="str">
            <v>TUBERIA PVC - UZ 63 MM 1,25 MPA</v>
          </cell>
          <cell r="D265" t="str">
            <v>ML</v>
          </cell>
          <cell r="E265">
            <v>4.4000000000000004</v>
          </cell>
          <cell r="G265">
            <v>4.4000000000000004</v>
          </cell>
        </row>
        <row r="266">
          <cell r="A266">
            <v>257</v>
          </cell>
          <cell r="B266" t="str">
            <v>VERTEDERO TRIANGULAR METALICA</v>
          </cell>
          <cell r="D266" t="str">
            <v>U</v>
          </cell>
          <cell r="E266">
            <v>250</v>
          </cell>
          <cell r="G266">
            <v>250</v>
          </cell>
        </row>
        <row r="267">
          <cell r="A267">
            <v>258</v>
          </cell>
          <cell r="B267" t="str">
            <v>Válvula de control D = 1"</v>
          </cell>
          <cell r="D267" t="str">
            <v>u</v>
          </cell>
          <cell r="E267">
            <v>15.56</v>
          </cell>
          <cell r="G267">
            <v>15.56</v>
          </cell>
        </row>
        <row r="268">
          <cell r="A268">
            <v>259</v>
          </cell>
          <cell r="B268" t="str">
            <v>Válvula de control D = 1/2"</v>
          </cell>
          <cell r="D268" t="str">
            <v>u</v>
          </cell>
          <cell r="E268">
            <v>6</v>
          </cell>
          <cell r="G268">
            <v>6</v>
          </cell>
        </row>
        <row r="269">
          <cell r="A269">
            <v>260</v>
          </cell>
          <cell r="B269" t="str">
            <v>Válvula de control D = 3/4"</v>
          </cell>
          <cell r="D269" t="str">
            <v>u</v>
          </cell>
          <cell r="E269">
            <v>13</v>
          </cell>
          <cell r="G269">
            <v>13</v>
          </cell>
        </row>
        <row r="270">
          <cell r="A270">
            <v>261</v>
          </cell>
          <cell r="B270" t="str">
            <v>Válvula de control D = 1 1/2"</v>
          </cell>
          <cell r="D270" t="str">
            <v>u</v>
          </cell>
          <cell r="E270">
            <v>22</v>
          </cell>
          <cell r="G270">
            <v>22</v>
          </cell>
        </row>
        <row r="271">
          <cell r="A271">
            <v>262</v>
          </cell>
          <cell r="B271" t="str">
            <v>Válvula de control D = 2 1/2"</v>
          </cell>
          <cell r="D271" t="str">
            <v>u</v>
          </cell>
          <cell r="E271">
            <v>68</v>
          </cell>
          <cell r="G271">
            <v>68</v>
          </cell>
        </row>
        <row r="272">
          <cell r="A272">
            <v>263</v>
          </cell>
          <cell r="B272" t="str">
            <v>Válvula de control D = 3"</v>
          </cell>
          <cell r="D272" t="str">
            <v>u</v>
          </cell>
          <cell r="E272">
            <v>35</v>
          </cell>
          <cell r="G272">
            <v>35</v>
          </cell>
        </row>
        <row r="273">
          <cell r="A273">
            <v>264</v>
          </cell>
          <cell r="B273" t="str">
            <v>Válvula de control D = 1 1/4"</v>
          </cell>
          <cell r="D273" t="str">
            <v>u</v>
          </cell>
          <cell r="E273">
            <v>20</v>
          </cell>
          <cell r="G273">
            <v>20</v>
          </cell>
        </row>
        <row r="274">
          <cell r="A274">
            <v>265</v>
          </cell>
          <cell r="B274" t="str">
            <v>Válvula de control D = 2"</v>
          </cell>
          <cell r="D274" t="str">
            <v>u</v>
          </cell>
          <cell r="E274">
            <v>32.5</v>
          </cell>
          <cell r="G274">
            <v>32.5</v>
          </cell>
        </row>
        <row r="275">
          <cell r="A275">
            <v>266</v>
          </cell>
          <cell r="G275">
            <v>0</v>
          </cell>
        </row>
        <row r="276">
          <cell r="A276">
            <v>267</v>
          </cell>
          <cell r="G276">
            <v>0</v>
          </cell>
        </row>
        <row r="277">
          <cell r="A277">
            <v>268</v>
          </cell>
          <cell r="B277" t="str">
            <v>Aditivo impermeabilizante</v>
          </cell>
          <cell r="D277" t="str">
            <v>Kg</v>
          </cell>
          <cell r="E277">
            <v>1.3</v>
          </cell>
          <cell r="G277">
            <v>1.3</v>
          </cell>
        </row>
        <row r="278">
          <cell r="A278">
            <v>269</v>
          </cell>
          <cell r="G278">
            <v>0</v>
          </cell>
        </row>
        <row r="279">
          <cell r="A279">
            <v>270</v>
          </cell>
          <cell r="B279" t="str">
            <v>Tubería de acero negro 1 1/2" ASTM A 53 sin costura</v>
          </cell>
          <cell r="D279" t="str">
            <v>ml</v>
          </cell>
          <cell r="E279">
            <v>22.5</v>
          </cell>
          <cell r="G279">
            <v>22.5</v>
          </cell>
        </row>
        <row r="280">
          <cell r="A280">
            <v>271</v>
          </cell>
          <cell r="G280">
            <v>0</v>
          </cell>
        </row>
        <row r="281">
          <cell r="A281">
            <v>272</v>
          </cell>
          <cell r="G281">
            <v>0</v>
          </cell>
        </row>
        <row r="282">
          <cell r="A282">
            <v>273</v>
          </cell>
          <cell r="B282" t="str">
            <v>Puerta metalica corrediza de salida vehicular</v>
          </cell>
          <cell r="D282" t="str">
            <v>m2</v>
          </cell>
          <cell r="E282">
            <v>125</v>
          </cell>
          <cell r="G282">
            <v>125</v>
          </cell>
        </row>
        <row r="283">
          <cell r="A283">
            <v>274</v>
          </cell>
          <cell r="B283" t="str">
            <v>Panel de acero inoxidable H=1,2m.</v>
          </cell>
          <cell r="D283" t="str">
            <v>m2</v>
          </cell>
          <cell r="E283">
            <v>78</v>
          </cell>
          <cell r="G283">
            <v>78</v>
          </cell>
        </row>
        <row r="284">
          <cell r="A284">
            <v>275</v>
          </cell>
          <cell r="B284" t="str">
            <v>Pasamano de acero inoxidable</v>
          </cell>
          <cell r="D284" t="str">
            <v>ml</v>
          </cell>
          <cell r="E284">
            <v>220</v>
          </cell>
          <cell r="G284">
            <v>220</v>
          </cell>
        </row>
        <row r="285">
          <cell r="A285">
            <v>276</v>
          </cell>
          <cell r="B285" t="str">
            <v>Puerta de tool 1/20" incluye marco, estructura y cerradura</v>
          </cell>
          <cell r="D285" t="str">
            <v>m2</v>
          </cell>
          <cell r="E285">
            <v>55</v>
          </cell>
          <cell r="G285">
            <v>55</v>
          </cell>
        </row>
        <row r="286">
          <cell r="A286">
            <v>277</v>
          </cell>
          <cell r="B286" t="str">
            <v>Puerta metálica de tol, tubo rect. de 50x25x2mm y vidrio templado 6mm, inc. Cerradura</v>
          </cell>
          <cell r="D286" t="str">
            <v>m2</v>
          </cell>
          <cell r="E286">
            <v>95</v>
          </cell>
          <cell r="G286">
            <v>95</v>
          </cell>
        </row>
        <row r="287">
          <cell r="A287">
            <v>278</v>
          </cell>
          <cell r="B287" t="str">
            <v>Ventana fija de tubería galvanizada de 2" sin malla, Inc. Marco de mampostería</v>
          </cell>
          <cell r="D287" t="str">
            <v>m2</v>
          </cell>
          <cell r="E287">
            <v>70</v>
          </cell>
          <cell r="G287">
            <v>70</v>
          </cell>
        </row>
        <row r="288">
          <cell r="A288">
            <v>279</v>
          </cell>
          <cell r="B288" t="str">
            <v>Cielo raso de gypsum inc. Estructura</v>
          </cell>
          <cell r="D288" t="str">
            <v>m2</v>
          </cell>
          <cell r="E288">
            <v>10</v>
          </cell>
          <cell r="G288">
            <v>10</v>
          </cell>
        </row>
        <row r="289">
          <cell r="A289">
            <v>280</v>
          </cell>
          <cell r="B289" t="str">
            <v>Puerta principal de aluminio y vidrio templado de 8mm</v>
          </cell>
          <cell r="D289" t="str">
            <v>m2</v>
          </cell>
          <cell r="E289">
            <v>420</v>
          </cell>
          <cell r="G289">
            <v>420</v>
          </cell>
        </row>
        <row r="290">
          <cell r="A290">
            <v>281</v>
          </cell>
          <cell r="B290" t="str">
            <v>Dispensador de papel higiénico</v>
          </cell>
          <cell r="D290" t="str">
            <v>u</v>
          </cell>
          <cell r="E290">
            <v>25</v>
          </cell>
          <cell r="G290">
            <v>25</v>
          </cell>
        </row>
        <row r="291">
          <cell r="A291">
            <v>282</v>
          </cell>
          <cell r="B291" t="str">
            <v>Llave presmatic lavamanos</v>
          </cell>
          <cell r="D291" t="str">
            <v>u</v>
          </cell>
          <cell r="E291">
            <v>68</v>
          </cell>
          <cell r="G291">
            <v>68</v>
          </cell>
        </row>
        <row r="292">
          <cell r="A292">
            <v>283</v>
          </cell>
          <cell r="B292" t="str">
            <v>Inodoro quantum institucional elongado blanco para fluxómetro</v>
          </cell>
          <cell r="D292" t="str">
            <v>u</v>
          </cell>
          <cell r="E292">
            <v>95</v>
          </cell>
          <cell r="G292">
            <v>95</v>
          </cell>
        </row>
        <row r="293">
          <cell r="A293">
            <v>284</v>
          </cell>
          <cell r="B293" t="str">
            <v>Lavamanos para empotrar blanco</v>
          </cell>
          <cell r="D293" t="str">
            <v>u</v>
          </cell>
          <cell r="E293">
            <v>58</v>
          </cell>
          <cell r="G293">
            <v>58</v>
          </cell>
        </row>
        <row r="294">
          <cell r="A294">
            <v>285</v>
          </cell>
          <cell r="B294" t="str">
            <v>Fluxómetro inodoro</v>
          </cell>
          <cell r="D294" t="str">
            <v>u</v>
          </cell>
          <cell r="E294">
            <v>160</v>
          </cell>
          <cell r="G294">
            <v>160</v>
          </cell>
        </row>
        <row r="295">
          <cell r="A295">
            <v>286</v>
          </cell>
          <cell r="B295" t="str">
            <v>Urinario quantum</v>
          </cell>
          <cell r="D295" t="str">
            <v>u</v>
          </cell>
          <cell r="E295">
            <v>65</v>
          </cell>
          <cell r="G295">
            <v>65</v>
          </cell>
        </row>
        <row r="296">
          <cell r="A296">
            <v>287</v>
          </cell>
          <cell r="B296" t="str">
            <v>Llave pressmatic urinario</v>
          </cell>
          <cell r="D296" t="str">
            <v>u</v>
          </cell>
          <cell r="E296">
            <v>82</v>
          </cell>
          <cell r="G296">
            <v>82</v>
          </cell>
        </row>
        <row r="297">
          <cell r="A297">
            <v>288</v>
          </cell>
          <cell r="B297" t="str">
            <v>Cubierta policarbonato incluye accesorios</v>
          </cell>
          <cell r="D297" t="str">
            <v>m2</v>
          </cell>
          <cell r="E297">
            <v>22</v>
          </cell>
          <cell r="G297">
            <v>22</v>
          </cell>
        </row>
        <row r="298">
          <cell r="A298">
            <v>289</v>
          </cell>
          <cell r="B298" t="str">
            <v>Secador de manos eléctrico</v>
          </cell>
          <cell r="D298" t="str">
            <v>u</v>
          </cell>
          <cell r="E298">
            <v>75</v>
          </cell>
          <cell r="G298">
            <v>75</v>
          </cell>
        </row>
        <row r="299">
          <cell r="A299">
            <v>290</v>
          </cell>
          <cell r="B299" t="str">
            <v>Dispensador de jabón grande</v>
          </cell>
          <cell r="D299" t="str">
            <v>u</v>
          </cell>
          <cell r="E299">
            <v>25</v>
          </cell>
          <cell r="G299">
            <v>25</v>
          </cell>
        </row>
        <row r="300">
          <cell r="A300">
            <v>291</v>
          </cell>
          <cell r="B300" t="str">
            <v>Lavamano empotrado inc. Llave presmatic</v>
          </cell>
          <cell r="D300" t="str">
            <v>u</v>
          </cell>
          <cell r="E300">
            <v>60</v>
          </cell>
          <cell r="G300">
            <v>60</v>
          </cell>
        </row>
        <row r="301">
          <cell r="A301">
            <v>292</v>
          </cell>
          <cell r="B301" t="str">
            <v>Lavaplato tipo TEKA</v>
          </cell>
          <cell r="D301" t="str">
            <v>u</v>
          </cell>
          <cell r="E301">
            <v>95</v>
          </cell>
          <cell r="G301">
            <v>95</v>
          </cell>
        </row>
        <row r="302">
          <cell r="A302">
            <v>293</v>
          </cell>
          <cell r="B302" t="str">
            <v>Llave pico de bronce</v>
          </cell>
          <cell r="D302" t="str">
            <v>u</v>
          </cell>
          <cell r="E302">
            <v>5</v>
          </cell>
          <cell r="G302">
            <v>5</v>
          </cell>
        </row>
        <row r="303">
          <cell r="A303">
            <v>294</v>
          </cell>
          <cell r="B303" t="str">
            <v xml:space="preserve">Válvula control 3/4" </v>
          </cell>
          <cell r="D303" t="str">
            <v>u</v>
          </cell>
          <cell r="E303">
            <v>14</v>
          </cell>
          <cell r="G303">
            <v>14</v>
          </cell>
        </row>
        <row r="304">
          <cell r="A304">
            <v>295</v>
          </cell>
          <cell r="B304" t="str">
            <v>Inodoro tanque bajo</v>
          </cell>
          <cell r="D304" t="str">
            <v>u</v>
          </cell>
          <cell r="E304">
            <v>100</v>
          </cell>
          <cell r="G304">
            <v>100</v>
          </cell>
        </row>
        <row r="305">
          <cell r="A305">
            <v>296</v>
          </cell>
          <cell r="B305" t="str">
            <v>Face Plate 1par con 1jack CAT6</v>
          </cell>
          <cell r="D305" t="str">
            <v>u</v>
          </cell>
          <cell r="E305">
            <v>12.4</v>
          </cell>
          <cell r="G305">
            <v>12.4</v>
          </cell>
        </row>
        <row r="306">
          <cell r="A306">
            <v>297</v>
          </cell>
          <cell r="B306" t="str">
            <v>Certificado punto voz y dato</v>
          </cell>
          <cell r="D306" t="str">
            <v>u</v>
          </cell>
          <cell r="E306">
            <v>4.0999999999999996</v>
          </cell>
          <cell r="G306">
            <v>4.0999999999999996</v>
          </cell>
        </row>
        <row r="307">
          <cell r="A307">
            <v>298</v>
          </cell>
          <cell r="B307" t="str">
            <v>Face Plate 2 posiciones</v>
          </cell>
          <cell r="D307" t="str">
            <v>u</v>
          </cell>
          <cell r="E307">
            <v>10</v>
          </cell>
          <cell r="G307">
            <v>10</v>
          </cell>
        </row>
        <row r="308">
          <cell r="A308">
            <v>299</v>
          </cell>
          <cell r="B308" t="str">
            <v>Luminaria tipo aplique de pared 26W 120V</v>
          </cell>
          <cell r="D308" t="str">
            <v>u</v>
          </cell>
          <cell r="E308">
            <v>10</v>
          </cell>
          <cell r="G308">
            <v>10</v>
          </cell>
        </row>
        <row r="309">
          <cell r="A309">
            <v>300</v>
          </cell>
          <cell r="B309" t="str">
            <v>Ducha eléctrica</v>
          </cell>
          <cell r="D309" t="str">
            <v>u</v>
          </cell>
          <cell r="E309">
            <v>18</v>
          </cell>
          <cell r="G309">
            <v>18</v>
          </cell>
        </row>
        <row r="310">
          <cell r="A310">
            <v>301</v>
          </cell>
          <cell r="B310" t="str">
            <v>Interruptor cuchilla 30 Amp</v>
          </cell>
          <cell r="D310" t="str">
            <v>u</v>
          </cell>
          <cell r="E310">
            <v>3.95</v>
          </cell>
          <cell r="G310">
            <v>3.95</v>
          </cell>
        </row>
        <row r="311">
          <cell r="A311">
            <v>302</v>
          </cell>
          <cell r="B311" t="str">
            <v>Conector EMT 1/2''</v>
          </cell>
          <cell r="D311" t="str">
            <v>u</v>
          </cell>
          <cell r="E311">
            <v>0.3</v>
          </cell>
          <cell r="G311">
            <v>0.3</v>
          </cell>
        </row>
        <row r="312">
          <cell r="A312">
            <v>303</v>
          </cell>
          <cell r="B312" t="str">
            <v>Lámpara fluorescente para montaje en cielo raso 3X32W</v>
          </cell>
          <cell r="D312" t="str">
            <v>u</v>
          </cell>
          <cell r="E312">
            <v>42</v>
          </cell>
          <cell r="G312">
            <v>42</v>
          </cell>
        </row>
        <row r="313">
          <cell r="A313">
            <v>304</v>
          </cell>
          <cell r="B313" t="str">
            <v>Luminaria plafón fluorescente de 20W</v>
          </cell>
          <cell r="D313" t="str">
            <v>u</v>
          </cell>
          <cell r="E313">
            <v>10</v>
          </cell>
          <cell r="G313">
            <v>10</v>
          </cell>
        </row>
        <row r="314">
          <cell r="A314">
            <v>305</v>
          </cell>
          <cell r="B314" t="str">
            <v>Lámpara fluorescente 3X32 W</v>
          </cell>
          <cell r="D314" t="str">
            <v>u</v>
          </cell>
          <cell r="E314">
            <v>52</v>
          </cell>
          <cell r="G314">
            <v>52</v>
          </cell>
        </row>
        <row r="315">
          <cell r="A315">
            <v>306</v>
          </cell>
          <cell r="B315" t="str">
            <v>Lámpara fluorescente 2X40 W</v>
          </cell>
          <cell r="D315" t="str">
            <v>u</v>
          </cell>
          <cell r="E315">
            <v>42</v>
          </cell>
          <cell r="G315">
            <v>42</v>
          </cell>
        </row>
        <row r="316">
          <cell r="A316">
            <v>307</v>
          </cell>
          <cell r="B316" t="str">
            <v>Varilla COPPERWELD</v>
          </cell>
          <cell r="D316" t="str">
            <v>u</v>
          </cell>
          <cell r="E316">
            <v>12</v>
          </cell>
          <cell r="G316">
            <v>12</v>
          </cell>
        </row>
        <row r="317">
          <cell r="A317">
            <v>308</v>
          </cell>
          <cell r="B317" t="str">
            <v>Breaker enchufable 2 polos 20 Amp</v>
          </cell>
          <cell r="D317" t="str">
            <v>u</v>
          </cell>
          <cell r="E317">
            <v>15</v>
          </cell>
          <cell r="G317">
            <v>15</v>
          </cell>
        </row>
        <row r="318">
          <cell r="A318">
            <v>309</v>
          </cell>
          <cell r="B318" t="str">
            <v>BOQUILLA DECORATIVA</v>
          </cell>
          <cell r="D318" t="str">
            <v>u</v>
          </cell>
          <cell r="E318">
            <v>5</v>
          </cell>
          <cell r="G318">
            <v>5</v>
          </cell>
        </row>
        <row r="319">
          <cell r="A319">
            <v>310</v>
          </cell>
          <cell r="B319" t="str">
            <v>Foco ahorrador</v>
          </cell>
          <cell r="D319" t="str">
            <v>u</v>
          </cell>
          <cell r="E319">
            <v>4.5</v>
          </cell>
          <cell r="G319">
            <v>4.5</v>
          </cell>
        </row>
        <row r="320">
          <cell r="A320">
            <v>311</v>
          </cell>
          <cell r="B320" t="str">
            <v>Breaker enchufable 3 polos 20 Amp</v>
          </cell>
          <cell r="D320" t="str">
            <v>u</v>
          </cell>
          <cell r="E320">
            <v>26</v>
          </cell>
          <cell r="G320">
            <v>26</v>
          </cell>
        </row>
        <row r="321">
          <cell r="A321">
            <v>312</v>
          </cell>
          <cell r="B321" t="str">
            <v>Breaker enchufable 1 polo 20 Amp</v>
          </cell>
          <cell r="D321" t="str">
            <v>u</v>
          </cell>
          <cell r="E321">
            <v>3.95</v>
          </cell>
          <cell r="G321">
            <v>3.95</v>
          </cell>
        </row>
        <row r="322">
          <cell r="A322">
            <v>313</v>
          </cell>
          <cell r="B322" t="str">
            <v>Breaker enchufable 1 polo 16 Amp</v>
          </cell>
          <cell r="D322" t="str">
            <v>u</v>
          </cell>
          <cell r="E322">
            <v>3.85</v>
          </cell>
          <cell r="G322">
            <v>3.85</v>
          </cell>
        </row>
        <row r="323">
          <cell r="A323">
            <v>314</v>
          </cell>
          <cell r="B323" t="str">
            <v xml:space="preserve">Lámpara tipo ojo de buey </v>
          </cell>
          <cell r="D323" t="str">
            <v>u</v>
          </cell>
          <cell r="E323">
            <v>22</v>
          </cell>
          <cell r="G323">
            <v>22</v>
          </cell>
        </row>
        <row r="324">
          <cell r="A324">
            <v>315</v>
          </cell>
          <cell r="B324" t="str">
            <v>Lámpara dulux simple 2x26W</v>
          </cell>
          <cell r="D324" t="str">
            <v>u</v>
          </cell>
          <cell r="E324">
            <v>33</v>
          </cell>
          <cell r="G324">
            <v>33</v>
          </cell>
        </row>
        <row r="325">
          <cell r="A325">
            <v>316</v>
          </cell>
          <cell r="B325" t="str">
            <v>Breaker enchufable 1 polo 10-30 Amp Square D</v>
          </cell>
          <cell r="D325" t="str">
            <v>u</v>
          </cell>
          <cell r="E325">
            <v>5.8</v>
          </cell>
          <cell r="G325">
            <v>5.8</v>
          </cell>
        </row>
        <row r="326">
          <cell r="A326">
            <v>317</v>
          </cell>
          <cell r="B326" t="str">
            <v>BRAKER 2 POLOS 40 AMP</v>
          </cell>
          <cell r="D326" t="str">
            <v>u</v>
          </cell>
          <cell r="E326">
            <v>16</v>
          </cell>
          <cell r="G326">
            <v>16</v>
          </cell>
        </row>
        <row r="327">
          <cell r="A327">
            <v>318</v>
          </cell>
          <cell r="B327" t="str">
            <v>Conductor Cu duro</v>
          </cell>
          <cell r="D327" t="str">
            <v>ml</v>
          </cell>
          <cell r="E327">
            <v>4.8</v>
          </cell>
          <cell r="G327">
            <v>4.8</v>
          </cell>
        </row>
        <row r="328">
          <cell r="A328">
            <v>319</v>
          </cell>
          <cell r="B328" t="str">
            <v>Tubería EMT 3/4''</v>
          </cell>
          <cell r="D328" t="str">
            <v>ml</v>
          </cell>
          <cell r="E328">
            <v>1.8</v>
          </cell>
          <cell r="G328">
            <v>1.8</v>
          </cell>
        </row>
        <row r="329">
          <cell r="A329">
            <v>320</v>
          </cell>
          <cell r="B329" t="str">
            <v>Unión EMT 3/4''</v>
          </cell>
          <cell r="D329" t="str">
            <v>u</v>
          </cell>
          <cell r="E329">
            <v>0.35</v>
          </cell>
          <cell r="G329">
            <v>0.35</v>
          </cell>
        </row>
        <row r="330">
          <cell r="A330">
            <v>321</v>
          </cell>
          <cell r="B330" t="str">
            <v>Codo EMT 1 1/4"</v>
          </cell>
          <cell r="D330" t="str">
            <v>u</v>
          </cell>
          <cell r="E330">
            <v>2.1</v>
          </cell>
          <cell r="G330">
            <v>2.1</v>
          </cell>
        </row>
        <row r="331">
          <cell r="A331">
            <v>322</v>
          </cell>
          <cell r="B331" t="str">
            <v>Unión EMT 1 1/4"</v>
          </cell>
          <cell r="D331" t="str">
            <v>u</v>
          </cell>
          <cell r="E331">
            <v>1.1000000000000001</v>
          </cell>
          <cell r="G331">
            <v>1.1000000000000001</v>
          </cell>
        </row>
        <row r="332">
          <cell r="A332">
            <v>323</v>
          </cell>
          <cell r="B332" t="str">
            <v>Tubería EMT 2"</v>
          </cell>
          <cell r="D332" t="str">
            <v>ml</v>
          </cell>
          <cell r="E332">
            <v>8.1999999999999993</v>
          </cell>
          <cell r="G332">
            <v>8.1999999999999993</v>
          </cell>
        </row>
        <row r="333">
          <cell r="A333">
            <v>324</v>
          </cell>
          <cell r="B333" t="str">
            <v xml:space="preserve">Tubería EMT 1 1/4" </v>
          </cell>
          <cell r="D333" t="str">
            <v>ml</v>
          </cell>
          <cell r="E333">
            <v>4.5199999999999996</v>
          </cell>
          <cell r="G333">
            <v>4.5199999999999996</v>
          </cell>
        </row>
        <row r="334">
          <cell r="A334">
            <v>325</v>
          </cell>
          <cell r="B334" t="str">
            <v>Conductor THNN # 1/0</v>
          </cell>
          <cell r="D334" t="str">
            <v>ml</v>
          </cell>
          <cell r="E334">
            <v>11</v>
          </cell>
          <cell r="G334">
            <v>11</v>
          </cell>
        </row>
        <row r="335">
          <cell r="A335">
            <v>326</v>
          </cell>
          <cell r="B335" t="str">
            <v>Conductor THNN # 6</v>
          </cell>
          <cell r="D335" t="str">
            <v>ml</v>
          </cell>
          <cell r="E335">
            <v>3</v>
          </cell>
          <cell r="G335">
            <v>3</v>
          </cell>
        </row>
        <row r="336">
          <cell r="A336">
            <v>327</v>
          </cell>
          <cell r="B336" t="str">
            <v>Conductor THHN # 12 AWG</v>
          </cell>
          <cell r="D336" t="str">
            <v>ml</v>
          </cell>
          <cell r="E336">
            <v>0.6</v>
          </cell>
          <cell r="G336">
            <v>0.6</v>
          </cell>
        </row>
        <row r="337">
          <cell r="A337">
            <v>328</v>
          </cell>
          <cell r="B337" t="str">
            <v>Conductor THNN # 14 AWG</v>
          </cell>
          <cell r="D337" t="str">
            <v>ml</v>
          </cell>
          <cell r="E337">
            <v>0.4</v>
          </cell>
          <cell r="G337">
            <v>0.4</v>
          </cell>
        </row>
        <row r="338">
          <cell r="A338">
            <v>329</v>
          </cell>
          <cell r="B338" t="str">
            <v>Conductor THNN # 8</v>
          </cell>
          <cell r="D338" t="str">
            <v>ml</v>
          </cell>
          <cell r="E338">
            <v>1.75</v>
          </cell>
          <cell r="G338">
            <v>1.75</v>
          </cell>
        </row>
        <row r="339">
          <cell r="A339">
            <v>330</v>
          </cell>
          <cell r="B339" t="str">
            <v>Conductor THNN # 4</v>
          </cell>
          <cell r="D339" t="str">
            <v>ml</v>
          </cell>
          <cell r="E339">
            <v>4</v>
          </cell>
          <cell r="G339">
            <v>4</v>
          </cell>
        </row>
        <row r="340">
          <cell r="A340">
            <v>331</v>
          </cell>
          <cell r="B340" t="str">
            <v>Conductor THNN # 2</v>
          </cell>
          <cell r="D340" t="str">
            <v>ml</v>
          </cell>
          <cell r="E340">
            <v>5</v>
          </cell>
          <cell r="G340">
            <v>5</v>
          </cell>
        </row>
        <row r="341">
          <cell r="A341">
            <v>332</v>
          </cell>
          <cell r="B341" t="str">
            <v>Tubería EMT 1/2"</v>
          </cell>
          <cell r="D341" t="str">
            <v>ml</v>
          </cell>
          <cell r="E341">
            <v>1.45</v>
          </cell>
          <cell r="G341">
            <v>1.45</v>
          </cell>
        </row>
        <row r="342">
          <cell r="A342">
            <v>333</v>
          </cell>
          <cell r="B342" t="str">
            <v>Unión EMT 1/2"</v>
          </cell>
          <cell r="D342" t="str">
            <v>u</v>
          </cell>
          <cell r="E342">
            <v>0.25</v>
          </cell>
          <cell r="G342">
            <v>0.25</v>
          </cell>
        </row>
        <row r="343">
          <cell r="A343">
            <v>334</v>
          </cell>
          <cell r="B343" t="str">
            <v>Conductor THHN  # 10</v>
          </cell>
          <cell r="D343" t="str">
            <v>ml</v>
          </cell>
          <cell r="E343">
            <v>0.65</v>
          </cell>
          <cell r="G343">
            <v>0.65</v>
          </cell>
        </row>
        <row r="344">
          <cell r="A344">
            <v>335</v>
          </cell>
          <cell r="B344" t="str">
            <v>Alambre galvanizado # 18</v>
          </cell>
          <cell r="D344" t="str">
            <v>kg</v>
          </cell>
          <cell r="E344">
            <v>1.82</v>
          </cell>
          <cell r="G344">
            <v>1.82</v>
          </cell>
        </row>
        <row r="345">
          <cell r="A345">
            <v>336</v>
          </cell>
          <cell r="B345" t="str">
            <v>CENTRO DE CARGA BIFASICO DE 30 CIRCUITOS</v>
          </cell>
          <cell r="D345" t="str">
            <v>u</v>
          </cell>
          <cell r="E345">
            <v>140</v>
          </cell>
          <cell r="G345">
            <v>140</v>
          </cell>
        </row>
        <row r="346">
          <cell r="A346">
            <v>337</v>
          </cell>
          <cell r="B346" t="str">
            <v>Caja octogonal grande</v>
          </cell>
          <cell r="D346" t="str">
            <v>u</v>
          </cell>
          <cell r="E346">
            <v>0.35</v>
          </cell>
          <cell r="G346">
            <v>0.35</v>
          </cell>
        </row>
        <row r="347">
          <cell r="A347">
            <v>338</v>
          </cell>
          <cell r="B347" t="str">
            <v>Caja rectangular profunda</v>
          </cell>
          <cell r="D347" t="str">
            <v>u</v>
          </cell>
          <cell r="E347">
            <v>0.55000000000000004</v>
          </cell>
          <cell r="G347">
            <v>0.55000000000000004</v>
          </cell>
        </row>
        <row r="348">
          <cell r="A348">
            <v>339</v>
          </cell>
          <cell r="B348" t="str">
            <v>TRANSFORMADOR MONOFASICO DE 1 BUSHING 37.5KVA AUTOPROTEGIDO REFRIGERADO EN ACEITE TIPO OA BILL MIN 95KVA,60HZ CON CAMBIADOR DE TAPS FUSIBLE INCORPORADO EN AT INSTALACION 2000msnm. VOLTAJE PRIMARIO 13,200/7620V 240V/120V</v>
          </cell>
          <cell r="D348" t="str">
            <v>u</v>
          </cell>
          <cell r="E348">
            <v>4500</v>
          </cell>
          <cell r="G348">
            <v>4500</v>
          </cell>
        </row>
        <row r="349">
          <cell r="A349">
            <v>340</v>
          </cell>
          <cell r="B349" t="str">
            <v>Codo EMT 1/2''</v>
          </cell>
          <cell r="D349" t="str">
            <v>u</v>
          </cell>
          <cell r="E349">
            <v>0.9</v>
          </cell>
          <cell r="G349">
            <v>0.9</v>
          </cell>
        </row>
        <row r="350">
          <cell r="A350">
            <v>341</v>
          </cell>
          <cell r="B350" t="str">
            <v>Tomacorriente doble polarizado tierra aislada</v>
          </cell>
          <cell r="D350" t="str">
            <v>u</v>
          </cell>
          <cell r="E350">
            <v>9.85</v>
          </cell>
          <cell r="G350">
            <v>9.85</v>
          </cell>
        </row>
        <row r="351">
          <cell r="A351">
            <v>342</v>
          </cell>
          <cell r="B351" t="str">
            <v xml:space="preserve">Tomacorriente doble </v>
          </cell>
          <cell r="D351" t="str">
            <v>u</v>
          </cell>
          <cell r="E351">
            <v>3</v>
          </cell>
          <cell r="G351">
            <v>3</v>
          </cell>
        </row>
        <row r="352">
          <cell r="A352">
            <v>343</v>
          </cell>
          <cell r="B352" t="str">
            <v>Codo EMT 2''</v>
          </cell>
          <cell r="D352" t="str">
            <v>u</v>
          </cell>
          <cell r="E352">
            <v>6.5</v>
          </cell>
          <cell r="G352">
            <v>6.5</v>
          </cell>
        </row>
        <row r="353">
          <cell r="A353">
            <v>344</v>
          </cell>
          <cell r="B353" t="str">
            <v>Unión EMT 2''</v>
          </cell>
          <cell r="D353" t="str">
            <v>u</v>
          </cell>
          <cell r="E353">
            <v>2.5</v>
          </cell>
          <cell r="G353">
            <v>2.5</v>
          </cell>
        </row>
        <row r="354">
          <cell r="A354">
            <v>345</v>
          </cell>
          <cell r="B354" t="str">
            <v>INTERRUPTOR</v>
          </cell>
          <cell r="D354" t="str">
            <v>u</v>
          </cell>
          <cell r="E354">
            <v>4</v>
          </cell>
          <cell r="G354">
            <v>4</v>
          </cell>
        </row>
        <row r="355">
          <cell r="A355">
            <v>346</v>
          </cell>
          <cell r="B355" t="str">
            <v>Cable UTP 6A</v>
          </cell>
          <cell r="D355" t="str">
            <v>ml</v>
          </cell>
          <cell r="E355">
            <v>1.9</v>
          </cell>
          <cell r="G355">
            <v>1.9</v>
          </cell>
        </row>
        <row r="356">
          <cell r="A356">
            <v>347</v>
          </cell>
          <cell r="B356" t="str">
            <v>APLIQUE CONMUTADOR</v>
          </cell>
          <cell r="D356" t="str">
            <v>u</v>
          </cell>
          <cell r="E356">
            <v>10</v>
          </cell>
          <cell r="G356">
            <v>10</v>
          </cell>
        </row>
        <row r="357">
          <cell r="A357">
            <v>348</v>
          </cell>
          <cell r="B357" t="str">
            <v>CENTRO DE CARGA TRIFASICO DE 30 CIRCUITOS</v>
          </cell>
          <cell r="D357" t="str">
            <v>u</v>
          </cell>
          <cell r="E357">
            <v>160</v>
          </cell>
          <cell r="G357">
            <v>160</v>
          </cell>
        </row>
        <row r="358">
          <cell r="A358">
            <v>349</v>
          </cell>
          <cell r="B358" t="str">
            <v>Centro de carga tirfásico de  20 circuitos</v>
          </cell>
          <cell r="D358" t="str">
            <v>u</v>
          </cell>
          <cell r="E358">
            <v>140</v>
          </cell>
          <cell r="G358">
            <v>140</v>
          </cell>
        </row>
        <row r="359">
          <cell r="A359">
            <v>350</v>
          </cell>
          <cell r="B359" t="str">
            <v>Centro de carga trifásico de 12 circuitos</v>
          </cell>
          <cell r="D359" t="str">
            <v>u</v>
          </cell>
          <cell r="E359">
            <v>90</v>
          </cell>
          <cell r="G359">
            <v>90</v>
          </cell>
        </row>
        <row r="360">
          <cell r="A360">
            <v>351</v>
          </cell>
          <cell r="B360" t="str">
            <v>Centro de carga de 4 circuitos</v>
          </cell>
          <cell r="D360" t="str">
            <v>u</v>
          </cell>
          <cell r="E360">
            <v>38</v>
          </cell>
          <cell r="G360">
            <v>38</v>
          </cell>
        </row>
        <row r="361">
          <cell r="A361">
            <v>352</v>
          </cell>
          <cell r="B361" t="str">
            <v>Tablero control de iluminación inc. Contactor</v>
          </cell>
          <cell r="D361" t="str">
            <v>u</v>
          </cell>
          <cell r="E361">
            <v>210</v>
          </cell>
          <cell r="G361">
            <v>210</v>
          </cell>
        </row>
        <row r="362">
          <cell r="A362">
            <v>353</v>
          </cell>
          <cell r="B362" t="str">
            <v>Tubería EMT 4''</v>
          </cell>
          <cell r="D362" t="str">
            <v>ml</v>
          </cell>
          <cell r="E362">
            <v>20.5</v>
          </cell>
          <cell r="G362">
            <v>20.5</v>
          </cell>
        </row>
        <row r="363">
          <cell r="A363">
            <v>354</v>
          </cell>
          <cell r="B363" t="str">
            <v>Unión EMT 4''</v>
          </cell>
          <cell r="D363" t="str">
            <v>u</v>
          </cell>
          <cell r="E363">
            <v>8.5</v>
          </cell>
          <cell r="G363">
            <v>8.5</v>
          </cell>
        </row>
        <row r="364">
          <cell r="A364">
            <v>355</v>
          </cell>
          <cell r="B364" t="str">
            <v>Codo EMT 4"</v>
          </cell>
          <cell r="D364" t="str">
            <v>u</v>
          </cell>
          <cell r="E364">
            <v>38.65</v>
          </cell>
          <cell r="G364">
            <v>38.65</v>
          </cell>
        </row>
        <row r="365">
          <cell r="A365">
            <v>356</v>
          </cell>
          <cell r="B365" t="str">
            <v>Suelda exotérmica CADWELL</v>
          </cell>
          <cell r="D365" t="str">
            <v>u</v>
          </cell>
          <cell r="E365">
            <v>15.6</v>
          </cell>
          <cell r="G365">
            <v>15.6</v>
          </cell>
        </row>
        <row r="366">
          <cell r="A366">
            <v>357</v>
          </cell>
          <cell r="B366" t="str">
            <v>Seccionador fusible 7.8/15 KV -100 A. Tipo abierto.</v>
          </cell>
          <cell r="D366" t="str">
            <v>u</v>
          </cell>
          <cell r="E366">
            <v>6</v>
          </cell>
          <cell r="G366">
            <v>6</v>
          </cell>
        </row>
        <row r="367">
          <cell r="A367">
            <v>358</v>
          </cell>
          <cell r="B367" t="str">
            <v>CENTRO DE CARGA MONOFASICO DE 20 CIRCUITOS</v>
          </cell>
          <cell r="D367" t="str">
            <v>U</v>
          </cell>
          <cell r="E367">
            <v>120</v>
          </cell>
          <cell r="G367">
            <v>120</v>
          </cell>
        </row>
        <row r="368">
          <cell r="A368">
            <v>359</v>
          </cell>
          <cell r="B368" t="str">
            <v>CENTRO DE CARGA MONOFASICO DE 16 CIRCUITOS</v>
          </cell>
          <cell r="D368" t="str">
            <v>U</v>
          </cell>
          <cell r="E368">
            <v>80</v>
          </cell>
          <cell r="G368">
            <v>80</v>
          </cell>
        </row>
        <row r="369">
          <cell r="A369">
            <v>360</v>
          </cell>
          <cell r="B369" t="str">
            <v>TABLERO DISTRIBUCION 200 AMP INC. BARRAS, AISLADORES, CABLES</v>
          </cell>
          <cell r="D369" t="str">
            <v>GLB.</v>
          </cell>
          <cell r="E369">
            <v>600</v>
          </cell>
          <cell r="G369">
            <v>600</v>
          </cell>
        </row>
        <row r="370">
          <cell r="A370">
            <v>361</v>
          </cell>
          <cell r="B370" t="str">
            <v>BRAKER C.M. 150 AMP</v>
          </cell>
          <cell r="D370" t="str">
            <v>U</v>
          </cell>
          <cell r="E370">
            <v>360</v>
          </cell>
          <cell r="G370">
            <v>360</v>
          </cell>
        </row>
        <row r="371">
          <cell r="A371">
            <v>362</v>
          </cell>
          <cell r="B371" t="str">
            <v>TABLERO DISTRIBUCION 300 AMP INC. BARRAS, AISLADORES, CABLES</v>
          </cell>
          <cell r="D371" t="str">
            <v>GLB.</v>
          </cell>
          <cell r="E371">
            <v>800</v>
          </cell>
          <cell r="G371">
            <v>800</v>
          </cell>
        </row>
        <row r="372">
          <cell r="A372">
            <v>363</v>
          </cell>
          <cell r="B372" t="str">
            <v>LUMINARIA TIPO COBRA 150 W</v>
          </cell>
          <cell r="D372" t="str">
            <v>U</v>
          </cell>
          <cell r="E372">
            <v>237.5</v>
          </cell>
          <cell r="G372">
            <v>237.5</v>
          </cell>
        </row>
        <row r="373">
          <cell r="A373">
            <v>364</v>
          </cell>
          <cell r="B373" t="str">
            <v>Pararrayos de 27KV inc. Conductor y accesorios</v>
          </cell>
          <cell r="D373" t="str">
            <v>u</v>
          </cell>
          <cell r="E373">
            <v>155</v>
          </cell>
          <cell r="G373">
            <v>155</v>
          </cell>
        </row>
        <row r="374">
          <cell r="A374">
            <v>365</v>
          </cell>
          <cell r="B374" t="str">
            <v>Punta terminal para exterior, cable de Cu 2AWG</v>
          </cell>
          <cell r="D374" t="str">
            <v>u</v>
          </cell>
          <cell r="E374">
            <v>65</v>
          </cell>
          <cell r="G374">
            <v>65</v>
          </cell>
        </row>
        <row r="375">
          <cell r="A375">
            <v>366</v>
          </cell>
          <cell r="B375" t="str">
            <v>Punta terminal para interior, cable de Cu 2AWG</v>
          </cell>
          <cell r="D375" t="str">
            <v>u</v>
          </cell>
          <cell r="E375">
            <v>55</v>
          </cell>
          <cell r="G375">
            <v>55</v>
          </cell>
        </row>
        <row r="376">
          <cell r="A376">
            <v>367</v>
          </cell>
          <cell r="B376" t="str">
            <v>Terminal de compresión tipo ojo</v>
          </cell>
          <cell r="D376" t="str">
            <v>u</v>
          </cell>
          <cell r="E376">
            <v>10</v>
          </cell>
          <cell r="G376">
            <v>10</v>
          </cell>
        </row>
        <row r="377">
          <cell r="A377">
            <v>368</v>
          </cell>
          <cell r="B377" t="str">
            <v>Tablero de distribución de 800 A</v>
          </cell>
          <cell r="D377" t="str">
            <v>u</v>
          </cell>
          <cell r="E377">
            <v>880</v>
          </cell>
          <cell r="G377">
            <v>880</v>
          </cell>
        </row>
        <row r="378">
          <cell r="A378">
            <v>369</v>
          </cell>
          <cell r="B378" t="str">
            <v>Tablero de distribución de 1000 A</v>
          </cell>
          <cell r="D378" t="str">
            <v>u</v>
          </cell>
          <cell r="E378">
            <v>1200</v>
          </cell>
          <cell r="G378">
            <v>1200</v>
          </cell>
        </row>
        <row r="379">
          <cell r="A379">
            <v>370</v>
          </cell>
          <cell r="B379" t="str">
            <v>CONDUCTOR THHN 4/0 AWG</v>
          </cell>
          <cell r="D379" t="str">
            <v>ML</v>
          </cell>
          <cell r="E379">
            <v>15.5</v>
          </cell>
          <cell r="G379">
            <v>15.5</v>
          </cell>
        </row>
        <row r="380">
          <cell r="A380">
            <v>371</v>
          </cell>
          <cell r="B380" t="str">
            <v>CONDUCTOR THHN 3/0 AWG</v>
          </cell>
          <cell r="D380" t="str">
            <v>ML</v>
          </cell>
          <cell r="E380">
            <v>14</v>
          </cell>
          <cell r="G380">
            <v>14</v>
          </cell>
        </row>
        <row r="381">
          <cell r="A381">
            <v>372</v>
          </cell>
          <cell r="B381" t="str">
            <v>CONDUCTOR THHN 2/0 AWG</v>
          </cell>
          <cell r="D381" t="str">
            <v>ML</v>
          </cell>
          <cell r="E381">
            <v>12.5</v>
          </cell>
          <cell r="G381">
            <v>12.5</v>
          </cell>
        </row>
        <row r="382">
          <cell r="A382">
            <v>373</v>
          </cell>
          <cell r="B382" t="str">
            <v>TRANSFORMADOR TRIFASICO AUTOPROTEGIDO DE 200 KVA</v>
          </cell>
          <cell r="D382" t="str">
            <v>u</v>
          </cell>
          <cell r="E382">
            <v>9000</v>
          </cell>
          <cell r="G382">
            <v>9000</v>
          </cell>
        </row>
        <row r="383">
          <cell r="A383">
            <v>374</v>
          </cell>
          <cell r="B383" t="str">
            <v>Transformador Trifasico de 150 KVA,13800GRDY/ 7967-220/127V. Tipo Padmounted, radial. Autoprotegido. Refrigerado en aceite tipo OA, BIL 95 KV, 60 Hz, con cambiador de taps de + - 2x2.5%. Incluye accesorios</v>
          </cell>
          <cell r="D383" t="str">
            <v>u</v>
          </cell>
          <cell r="E383">
            <v>7900</v>
          </cell>
          <cell r="G383">
            <v>7900</v>
          </cell>
        </row>
        <row r="384">
          <cell r="A384">
            <v>375</v>
          </cell>
          <cell r="B384" t="str">
            <v>Breaker caja moldeada 3P 700A</v>
          </cell>
          <cell r="D384" t="str">
            <v>u</v>
          </cell>
          <cell r="E384">
            <v>785</v>
          </cell>
          <cell r="G384">
            <v>785</v>
          </cell>
        </row>
        <row r="385">
          <cell r="A385">
            <v>376</v>
          </cell>
          <cell r="B385" t="str">
            <v>Breaker caja moldeada 3 polos 400 A</v>
          </cell>
          <cell r="D385" t="str">
            <v>u</v>
          </cell>
          <cell r="E385">
            <v>750</v>
          </cell>
          <cell r="G385">
            <v>750</v>
          </cell>
        </row>
        <row r="386">
          <cell r="A386">
            <v>377</v>
          </cell>
          <cell r="B386" t="str">
            <v>Breaker caja moldeada 3 polos 20 A</v>
          </cell>
          <cell r="D386" t="str">
            <v>u</v>
          </cell>
          <cell r="E386">
            <v>145</v>
          </cell>
          <cell r="G386">
            <v>145</v>
          </cell>
        </row>
        <row r="387">
          <cell r="A387">
            <v>378</v>
          </cell>
          <cell r="B387" t="str">
            <v>Breaker caja moldeada 3 polos 30 A</v>
          </cell>
          <cell r="D387" t="str">
            <v>u</v>
          </cell>
          <cell r="E387">
            <v>150</v>
          </cell>
          <cell r="G387">
            <v>150</v>
          </cell>
        </row>
        <row r="388">
          <cell r="A388">
            <v>379</v>
          </cell>
          <cell r="B388" t="str">
            <v xml:space="preserve">Breaker C.M 3P 60 A </v>
          </cell>
          <cell r="D388" t="str">
            <v>u</v>
          </cell>
          <cell r="E388">
            <v>160</v>
          </cell>
          <cell r="G388">
            <v>160</v>
          </cell>
        </row>
        <row r="389">
          <cell r="A389">
            <v>380</v>
          </cell>
          <cell r="B389" t="str">
            <v>Breaker caja moldeada 3 polos 50 A</v>
          </cell>
          <cell r="D389" t="str">
            <v>u</v>
          </cell>
          <cell r="E389">
            <v>170</v>
          </cell>
          <cell r="G389">
            <v>170</v>
          </cell>
        </row>
        <row r="390">
          <cell r="A390">
            <v>381</v>
          </cell>
          <cell r="B390" t="str">
            <v>Breaker caja moldeada 3 polos 70 A</v>
          </cell>
          <cell r="D390" t="str">
            <v>u</v>
          </cell>
          <cell r="E390">
            <v>200</v>
          </cell>
          <cell r="G390">
            <v>200</v>
          </cell>
        </row>
        <row r="391">
          <cell r="A391">
            <v>382</v>
          </cell>
          <cell r="B391" t="str">
            <v>Breaker enchufable 3 Polos 70 A</v>
          </cell>
          <cell r="D391" t="str">
            <v>u</v>
          </cell>
          <cell r="E391">
            <v>65</v>
          </cell>
          <cell r="G391">
            <v>65</v>
          </cell>
        </row>
        <row r="392">
          <cell r="A392">
            <v>383</v>
          </cell>
          <cell r="B392" t="str">
            <v>Breaker enchufable 3 Polos 50 A</v>
          </cell>
          <cell r="D392" t="str">
            <v>u</v>
          </cell>
          <cell r="E392">
            <v>30</v>
          </cell>
          <cell r="G392">
            <v>30</v>
          </cell>
        </row>
        <row r="393">
          <cell r="A393">
            <v>384</v>
          </cell>
          <cell r="B393" t="str">
            <v>Breaker enchufable 2 Polos 40 A</v>
          </cell>
          <cell r="D393" t="str">
            <v>u</v>
          </cell>
          <cell r="E393">
            <v>30</v>
          </cell>
          <cell r="G393">
            <v>30</v>
          </cell>
        </row>
        <row r="394">
          <cell r="A394">
            <v>385</v>
          </cell>
          <cell r="B394" t="str">
            <v>Breaker enchufable 2 polos 20 A</v>
          </cell>
          <cell r="D394" t="str">
            <v>u</v>
          </cell>
          <cell r="E394">
            <v>18</v>
          </cell>
          <cell r="G394">
            <v>18</v>
          </cell>
        </row>
        <row r="395">
          <cell r="A395">
            <v>386</v>
          </cell>
          <cell r="B395" t="str">
            <v>Breaker caja moldeada de 2P-60A</v>
          </cell>
          <cell r="D395" t="str">
            <v>u</v>
          </cell>
          <cell r="E395">
            <v>160</v>
          </cell>
          <cell r="G395">
            <v>160</v>
          </cell>
        </row>
        <row r="396">
          <cell r="A396">
            <v>387</v>
          </cell>
          <cell r="B396" t="str">
            <v>Breaker caja moldeada 3 polos 250 A</v>
          </cell>
          <cell r="D396" t="str">
            <v>u</v>
          </cell>
          <cell r="E396">
            <v>620</v>
          </cell>
          <cell r="G396">
            <v>620</v>
          </cell>
        </row>
        <row r="397">
          <cell r="A397">
            <v>388</v>
          </cell>
          <cell r="B397" t="str">
            <v>Breaker caja moldeada de 3P-150A</v>
          </cell>
          <cell r="D397" t="str">
            <v>u</v>
          </cell>
          <cell r="E397">
            <v>390</v>
          </cell>
          <cell r="G397">
            <v>390</v>
          </cell>
        </row>
        <row r="398">
          <cell r="A398">
            <v>389</v>
          </cell>
          <cell r="B398" t="str">
            <v>Grupo electrógeno accionado por motor diesel, enfriado por agua. Filtro de aceite y de combustible, separador de agua y válvula de drenaje del aceite lubricante incorporados. Motor de arranque eléctrico, drenaje del aceite lubricante incorporados. Motor de arranque eléctrico Gobernador mecánico. Filtro de aire para trabajos normales. Alternador con rodamiento único. Silenciador industrial 9 dB en línea. Batería montada en el chasis. Motor, alternador, chasis y caja de control. Con regulación de voltaje y frecuencia. Dispondrá de un tablero de control. De 160 KVA de potencia, monofásico, nivel de tensión 240/120 voltios.  Frecuencia 60 Hz. Marca Cummins, modelo PRAMAC, ó similar.</v>
          </cell>
          <cell r="D398" t="str">
            <v>u</v>
          </cell>
          <cell r="E398">
            <v>31500</v>
          </cell>
          <cell r="G398">
            <v>31500</v>
          </cell>
        </row>
        <row r="399">
          <cell r="A399">
            <v>390</v>
          </cell>
          <cell r="B399" t="str">
            <v>Tablero de transferencia automática TTA</v>
          </cell>
          <cell r="D399" t="str">
            <v>u</v>
          </cell>
          <cell r="E399">
            <v>4250</v>
          </cell>
          <cell r="G399">
            <v>4250</v>
          </cell>
        </row>
        <row r="400">
          <cell r="A400">
            <v>391</v>
          </cell>
          <cell r="B400" t="str">
            <v>Soporte de caucho</v>
          </cell>
          <cell r="D400" t="str">
            <v>u</v>
          </cell>
          <cell r="E400">
            <v>75</v>
          </cell>
          <cell r="G400">
            <v>75</v>
          </cell>
        </row>
        <row r="401">
          <cell r="A401">
            <v>392</v>
          </cell>
          <cell r="B401" t="str">
            <v>Gem 25 kg</v>
          </cell>
          <cell r="D401" t="str">
            <v>saco</v>
          </cell>
          <cell r="E401">
            <v>35</v>
          </cell>
          <cell r="G401">
            <v>35</v>
          </cell>
        </row>
        <row r="402">
          <cell r="A402">
            <v>393</v>
          </cell>
          <cell r="B402" t="str">
            <v>Sistema de sonido ambiental</v>
          </cell>
          <cell r="D402" t="str">
            <v>glb</v>
          </cell>
          <cell r="E402">
            <v>4650</v>
          </cell>
          <cell r="G402">
            <v>4650</v>
          </cell>
        </row>
        <row r="403">
          <cell r="A403">
            <v>394</v>
          </cell>
          <cell r="B403" t="str">
            <v>Sistema de cableado estructurado y telefónico</v>
          </cell>
          <cell r="D403" t="str">
            <v>glb</v>
          </cell>
          <cell r="E403">
            <v>8000</v>
          </cell>
          <cell r="G403">
            <v>8000</v>
          </cell>
        </row>
        <row r="404">
          <cell r="A404">
            <v>395</v>
          </cell>
          <cell r="B404" t="str">
            <v>Señalética y disposición de rutas para evacuación</v>
          </cell>
          <cell r="D404" t="str">
            <v>glb</v>
          </cell>
          <cell r="E404">
            <v>2500</v>
          </cell>
          <cell r="G404">
            <v>2500</v>
          </cell>
        </row>
        <row r="405">
          <cell r="A405">
            <v>396</v>
          </cell>
          <cell r="B405" t="str">
            <v>Caseta metálica para guardianía</v>
          </cell>
          <cell r="D405" t="str">
            <v>glb</v>
          </cell>
          <cell r="E405">
            <v>1350</v>
          </cell>
          <cell r="G405">
            <v>1350</v>
          </cell>
        </row>
        <row r="406">
          <cell r="A406">
            <v>397</v>
          </cell>
          <cell r="B406" t="str">
            <v>Switch capa 2 10/100/1000 24 puertos 4SFP</v>
          </cell>
          <cell r="D406" t="str">
            <v>u</v>
          </cell>
          <cell r="E406">
            <v>960</v>
          </cell>
          <cell r="G406">
            <v>960</v>
          </cell>
        </row>
        <row r="407">
          <cell r="A407">
            <v>398</v>
          </cell>
          <cell r="B407" t="str">
            <v>Teléfono simple para escritorio</v>
          </cell>
          <cell r="D407" t="str">
            <v>u</v>
          </cell>
          <cell r="E407">
            <v>18.5</v>
          </cell>
          <cell r="G407">
            <v>18.5</v>
          </cell>
        </row>
        <row r="408">
          <cell r="A408">
            <v>399</v>
          </cell>
          <cell r="B408" t="str">
            <v>Teléfono programador</v>
          </cell>
          <cell r="D408" t="str">
            <v>u</v>
          </cell>
          <cell r="E408">
            <v>145</v>
          </cell>
          <cell r="G408">
            <v>145</v>
          </cell>
        </row>
        <row r="409">
          <cell r="A409">
            <v>400</v>
          </cell>
          <cell r="B409" t="str">
            <v>Patch Panel 24 puertos CAT 6A-/FUTP inc. Conectores jack p/c CAT 6</v>
          </cell>
          <cell r="D409" t="str">
            <v>u</v>
          </cell>
          <cell r="E409">
            <v>200</v>
          </cell>
          <cell r="G409">
            <v>200</v>
          </cell>
        </row>
        <row r="410">
          <cell r="A410">
            <v>401</v>
          </cell>
          <cell r="B410" t="str">
            <v>Patch cord 1m CAT 6A para Rack</v>
          </cell>
          <cell r="D410" t="str">
            <v>u</v>
          </cell>
          <cell r="E410">
            <v>9.6</v>
          </cell>
          <cell r="G410">
            <v>9.6</v>
          </cell>
        </row>
        <row r="411">
          <cell r="A411">
            <v>402</v>
          </cell>
          <cell r="B411" t="str">
            <v>Rack de telecomunicaciones 42UR</v>
          </cell>
          <cell r="D411" t="str">
            <v>u</v>
          </cell>
          <cell r="E411">
            <v>980</v>
          </cell>
          <cell r="G411">
            <v>980</v>
          </cell>
        </row>
        <row r="412">
          <cell r="A412">
            <v>403</v>
          </cell>
          <cell r="B412" t="str">
            <v>Switch capa 3 10/100/1000 24 puertos 4SFP</v>
          </cell>
          <cell r="D412" t="str">
            <v>u</v>
          </cell>
          <cell r="E412">
            <v>2000</v>
          </cell>
          <cell r="G412">
            <v>2000</v>
          </cell>
        </row>
        <row r="413">
          <cell r="A413">
            <v>404</v>
          </cell>
          <cell r="B413" t="str">
            <v>Rack de telecomunicaciones 12UR</v>
          </cell>
          <cell r="D413" t="str">
            <v>u</v>
          </cell>
          <cell r="E413">
            <v>360</v>
          </cell>
          <cell r="G413">
            <v>360</v>
          </cell>
        </row>
        <row r="414">
          <cell r="A414">
            <v>405</v>
          </cell>
          <cell r="B414" t="str">
            <v>Teclado remoto tipo LCD para panel de 32 zonas</v>
          </cell>
          <cell r="D414" t="str">
            <v>u</v>
          </cell>
          <cell r="E414">
            <v>140</v>
          </cell>
          <cell r="G414">
            <v>140</v>
          </cell>
        </row>
        <row r="415">
          <cell r="A415">
            <v>406</v>
          </cell>
          <cell r="B415" t="str">
            <v>Unidad de control convencional de robo/asalto de 8 zonas con teclado alfanumerico, gabinete bateria y transformador</v>
          </cell>
          <cell r="D415" t="str">
            <v>u</v>
          </cell>
          <cell r="E415">
            <v>150</v>
          </cell>
          <cell r="G415">
            <v>150</v>
          </cell>
        </row>
        <row r="416">
          <cell r="A416">
            <v>407</v>
          </cell>
          <cell r="B416" t="str">
            <v xml:space="preserve">Face Plate </v>
          </cell>
          <cell r="D416" t="str">
            <v>u</v>
          </cell>
          <cell r="E416">
            <v>3.6</v>
          </cell>
          <cell r="G416">
            <v>3.6</v>
          </cell>
        </row>
        <row r="417">
          <cell r="A417">
            <v>408</v>
          </cell>
          <cell r="B417" t="str">
            <v>Cable 3 Coaxial RG 59</v>
          </cell>
          <cell r="D417" t="str">
            <v>u</v>
          </cell>
          <cell r="E417">
            <v>0.5</v>
          </cell>
          <cell r="G417">
            <v>0.5</v>
          </cell>
        </row>
        <row r="418">
          <cell r="A418">
            <v>409</v>
          </cell>
          <cell r="B418" t="str">
            <v>Transeiver fibra optica 10GB Puerto SFP</v>
          </cell>
          <cell r="D418" t="str">
            <v>u</v>
          </cell>
          <cell r="E418">
            <v>950</v>
          </cell>
          <cell r="G418">
            <v>950</v>
          </cell>
        </row>
        <row r="419">
          <cell r="A419">
            <v>410</v>
          </cell>
          <cell r="B419" t="str">
            <v>Fusionado y certificado de fibra óptica</v>
          </cell>
          <cell r="D419" t="str">
            <v>u</v>
          </cell>
          <cell r="E419">
            <v>16</v>
          </cell>
          <cell r="G419">
            <v>16</v>
          </cell>
        </row>
        <row r="420">
          <cell r="A420">
            <v>411</v>
          </cell>
          <cell r="B420" t="str">
            <v>Fibra óptica multimodo</v>
          </cell>
          <cell r="D420" t="str">
            <v>m</v>
          </cell>
          <cell r="E420">
            <v>2.2000000000000002</v>
          </cell>
          <cell r="G420">
            <v>2.2000000000000002</v>
          </cell>
        </row>
        <row r="421">
          <cell r="A421">
            <v>412</v>
          </cell>
          <cell r="B421" t="str">
            <v>Parlante de 10 W 8 Ohmios</v>
          </cell>
          <cell r="D421" t="str">
            <v>u</v>
          </cell>
          <cell r="E421">
            <v>35</v>
          </cell>
          <cell r="G421">
            <v>35</v>
          </cell>
        </row>
        <row r="422">
          <cell r="A422">
            <v>413</v>
          </cell>
          <cell r="B422" t="str">
            <v>Cable para parlante</v>
          </cell>
          <cell r="D422" t="str">
            <v>m</v>
          </cell>
          <cell r="E422">
            <v>0.75</v>
          </cell>
          <cell r="G422">
            <v>0.75</v>
          </cell>
        </row>
        <row r="423">
          <cell r="A423">
            <v>414</v>
          </cell>
          <cell r="B423" t="str">
            <v>Switch 7 puertos 10/100/1000</v>
          </cell>
          <cell r="D423" t="str">
            <v>u</v>
          </cell>
          <cell r="E423">
            <v>1380</v>
          </cell>
          <cell r="G423">
            <v>1380</v>
          </cell>
        </row>
        <row r="424">
          <cell r="A424">
            <v>415</v>
          </cell>
          <cell r="B424" t="str">
            <v>Patch Panel 12 puertos CAT 6A-/FUTP inc. Conectores jack p/c CAT 6</v>
          </cell>
          <cell r="D424" t="str">
            <v>u</v>
          </cell>
          <cell r="E424">
            <v>130</v>
          </cell>
          <cell r="G424">
            <v>130</v>
          </cell>
        </row>
        <row r="425">
          <cell r="A425">
            <v>416</v>
          </cell>
          <cell r="B425" t="str">
            <v>Switch capa 2 10/100/1000 48 puertos 4SFP</v>
          </cell>
          <cell r="D425" t="str">
            <v>u</v>
          </cell>
          <cell r="E425">
            <v>6200</v>
          </cell>
          <cell r="G425">
            <v>6200</v>
          </cell>
        </row>
        <row r="426">
          <cell r="A426">
            <v>417</v>
          </cell>
          <cell r="B426" t="str">
            <v>Rack de telecomunicaciones 24UR</v>
          </cell>
          <cell r="D426" t="str">
            <v>u</v>
          </cell>
          <cell r="E426">
            <v>800</v>
          </cell>
          <cell r="G426">
            <v>800</v>
          </cell>
        </row>
        <row r="427">
          <cell r="A427">
            <v>418</v>
          </cell>
          <cell r="B427" t="str">
            <v>Caja de paso de 15x15x9</v>
          </cell>
          <cell r="D427" t="str">
            <v>u</v>
          </cell>
          <cell r="E427">
            <v>16</v>
          </cell>
          <cell r="G427">
            <v>16</v>
          </cell>
        </row>
        <row r="428">
          <cell r="A428">
            <v>419</v>
          </cell>
          <cell r="B428" t="str">
            <v>Patch cord rack LC /LC D mm 62,5/125 3m</v>
          </cell>
          <cell r="D428" t="str">
            <v>m</v>
          </cell>
          <cell r="E428">
            <v>38</v>
          </cell>
          <cell r="G428">
            <v>38</v>
          </cell>
        </row>
        <row r="429">
          <cell r="A429">
            <v>420</v>
          </cell>
          <cell r="B429" t="str">
            <v>Bandeja de fibra óptica 12 puertos con conectores LC</v>
          </cell>
          <cell r="D429" t="str">
            <v>u</v>
          </cell>
          <cell r="E429">
            <v>260</v>
          </cell>
          <cell r="G429">
            <v>260</v>
          </cell>
        </row>
        <row r="430">
          <cell r="A430">
            <v>421</v>
          </cell>
          <cell r="B430" t="str">
            <v>Amplificador de sonido 750W</v>
          </cell>
          <cell r="D430" t="str">
            <v>u</v>
          </cell>
          <cell r="E430">
            <v>450</v>
          </cell>
          <cell r="G430">
            <v>450</v>
          </cell>
        </row>
        <row r="431">
          <cell r="A431">
            <v>422</v>
          </cell>
          <cell r="B431" t="str">
            <v>Micrófono profesional</v>
          </cell>
          <cell r="D431" t="str">
            <v>u</v>
          </cell>
          <cell r="E431">
            <v>82</v>
          </cell>
          <cell r="G431">
            <v>82</v>
          </cell>
        </row>
        <row r="432">
          <cell r="A432">
            <v>423</v>
          </cell>
          <cell r="B432" t="str">
            <v>Micrófono inalámbrico profesional</v>
          </cell>
          <cell r="D432" t="str">
            <v>u</v>
          </cell>
          <cell r="E432">
            <v>120</v>
          </cell>
          <cell r="G432">
            <v>120</v>
          </cell>
        </row>
        <row r="433">
          <cell r="A433">
            <v>424</v>
          </cell>
          <cell r="B433" t="str">
            <v>Sirena</v>
          </cell>
          <cell r="D433" t="str">
            <v>u</v>
          </cell>
          <cell r="E433">
            <v>80</v>
          </cell>
          <cell r="G433">
            <v>80</v>
          </cell>
        </row>
        <row r="434">
          <cell r="A434">
            <v>425</v>
          </cell>
          <cell r="B434" t="str">
            <v>Lámpara de emergencia con batería</v>
          </cell>
          <cell r="D434" t="str">
            <v>u</v>
          </cell>
          <cell r="E434">
            <v>45</v>
          </cell>
          <cell r="G434">
            <v>45</v>
          </cell>
        </row>
        <row r="435">
          <cell r="A435">
            <v>426</v>
          </cell>
          <cell r="B435" t="str">
            <v>Contacto magnético</v>
          </cell>
          <cell r="D435" t="str">
            <v>u</v>
          </cell>
          <cell r="E435">
            <v>5</v>
          </cell>
          <cell r="G435">
            <v>5</v>
          </cell>
        </row>
        <row r="436">
          <cell r="A436">
            <v>427</v>
          </cell>
          <cell r="B436" t="str">
            <v>Alambre gemelo # 16</v>
          </cell>
          <cell r="D436" t="str">
            <v>m</v>
          </cell>
          <cell r="E436">
            <v>0.42</v>
          </cell>
          <cell r="G436">
            <v>0.42</v>
          </cell>
        </row>
        <row r="437">
          <cell r="A437">
            <v>428</v>
          </cell>
          <cell r="B437" t="str">
            <v>Detector de movimiento doble tecnología</v>
          </cell>
          <cell r="D437" t="str">
            <v>u</v>
          </cell>
          <cell r="E437">
            <v>18.5</v>
          </cell>
          <cell r="G437">
            <v>18.5</v>
          </cell>
        </row>
        <row r="438">
          <cell r="A438">
            <v>429</v>
          </cell>
          <cell r="B438" t="str">
            <v>Cable UTP CAT3</v>
          </cell>
          <cell r="D438" t="str">
            <v>m</v>
          </cell>
          <cell r="E438">
            <v>0.4</v>
          </cell>
          <cell r="G438">
            <v>0.4</v>
          </cell>
        </row>
        <row r="439">
          <cell r="A439">
            <v>430</v>
          </cell>
          <cell r="B439" t="str">
            <v>Pulsador contra incendio</v>
          </cell>
          <cell r="D439" t="str">
            <v>u</v>
          </cell>
          <cell r="E439">
            <v>120</v>
          </cell>
          <cell r="G439">
            <v>120</v>
          </cell>
        </row>
        <row r="440">
          <cell r="A440">
            <v>431</v>
          </cell>
          <cell r="B440" t="str">
            <v>Central de alarma de seguridad instalado</v>
          </cell>
          <cell r="D440" t="str">
            <v>u</v>
          </cell>
          <cell r="E440">
            <v>160</v>
          </cell>
          <cell r="G440">
            <v>160</v>
          </cell>
        </row>
        <row r="441">
          <cell r="A441">
            <v>432</v>
          </cell>
          <cell r="B441" t="str">
            <v xml:space="preserve">Teclado central de alarma </v>
          </cell>
          <cell r="D441" t="str">
            <v>u</v>
          </cell>
          <cell r="E441">
            <v>130</v>
          </cell>
          <cell r="G441">
            <v>130</v>
          </cell>
        </row>
        <row r="442">
          <cell r="A442">
            <v>433</v>
          </cell>
          <cell r="B442" t="str">
            <v>Lector biométrico</v>
          </cell>
          <cell r="D442" t="str">
            <v>u</v>
          </cell>
          <cell r="E442">
            <v>960</v>
          </cell>
          <cell r="G442">
            <v>960</v>
          </cell>
        </row>
        <row r="443">
          <cell r="A443">
            <v>434</v>
          </cell>
          <cell r="B443" t="str">
            <v>Detector de humo direccionable</v>
          </cell>
          <cell r="D443" t="str">
            <v>u</v>
          </cell>
          <cell r="E443">
            <v>155</v>
          </cell>
          <cell r="G443">
            <v>155</v>
          </cell>
        </row>
        <row r="444">
          <cell r="A444">
            <v>435</v>
          </cell>
          <cell r="B444" t="str">
            <v>Detector de humo</v>
          </cell>
          <cell r="D444" t="str">
            <v>u</v>
          </cell>
          <cell r="E444">
            <v>155</v>
          </cell>
          <cell r="G444">
            <v>155</v>
          </cell>
        </row>
        <row r="445">
          <cell r="A445">
            <v>436</v>
          </cell>
          <cell r="B445" t="str">
            <v>Cable antiflama</v>
          </cell>
          <cell r="D445" t="str">
            <v>m</v>
          </cell>
          <cell r="E445">
            <v>1</v>
          </cell>
          <cell r="G445">
            <v>1</v>
          </cell>
        </row>
        <row r="446">
          <cell r="A446">
            <v>437</v>
          </cell>
          <cell r="B446" t="str">
            <v>Pulsador de emergencia</v>
          </cell>
          <cell r="D446" t="str">
            <v>u</v>
          </cell>
          <cell r="E446">
            <v>32</v>
          </cell>
          <cell r="G446">
            <v>32</v>
          </cell>
        </row>
        <row r="447">
          <cell r="A447">
            <v>438</v>
          </cell>
          <cell r="B447" t="str">
            <v>Luz estroboscópica</v>
          </cell>
          <cell r="D447" t="str">
            <v>u</v>
          </cell>
          <cell r="E447">
            <v>110</v>
          </cell>
          <cell r="G447">
            <v>110</v>
          </cell>
        </row>
        <row r="448">
          <cell r="A448">
            <v>439</v>
          </cell>
          <cell r="B448" t="str">
            <v>Estación manual de incendios direccionable</v>
          </cell>
          <cell r="D448" t="str">
            <v>u</v>
          </cell>
          <cell r="E448">
            <v>155</v>
          </cell>
          <cell r="G448">
            <v>155</v>
          </cell>
        </row>
        <row r="449">
          <cell r="A449">
            <v>440</v>
          </cell>
          <cell r="B449" t="str">
            <v>Modulo para luces estroboscopicas</v>
          </cell>
          <cell r="D449" t="str">
            <v>u</v>
          </cell>
          <cell r="E449">
            <v>150</v>
          </cell>
          <cell r="G449">
            <v>150</v>
          </cell>
        </row>
        <row r="450">
          <cell r="A450">
            <v>441</v>
          </cell>
          <cell r="B450" t="str">
            <v>Sensor de calor direccionable incluye accesorios</v>
          </cell>
          <cell r="D450" t="str">
            <v>u</v>
          </cell>
          <cell r="E450">
            <v>95</v>
          </cell>
          <cell r="G450">
            <v>95</v>
          </cell>
        </row>
        <row r="451">
          <cell r="A451">
            <v>442</v>
          </cell>
          <cell r="B451" t="str">
            <v>Bocina de 30W 16 ohmios</v>
          </cell>
          <cell r="D451" t="str">
            <v>u</v>
          </cell>
          <cell r="E451">
            <v>37</v>
          </cell>
          <cell r="G451">
            <v>37</v>
          </cell>
        </row>
        <row r="452">
          <cell r="A452">
            <v>443</v>
          </cell>
          <cell r="B452" t="str">
            <v>Poste eléctrico metálico de 6m</v>
          </cell>
          <cell r="D452" t="str">
            <v>u</v>
          </cell>
          <cell r="E452">
            <v>220</v>
          </cell>
          <cell r="G452">
            <v>220</v>
          </cell>
        </row>
        <row r="453">
          <cell r="A453">
            <v>444</v>
          </cell>
          <cell r="B453" t="str">
            <v>Patch cord LC 3 m</v>
          </cell>
          <cell r="D453" t="str">
            <v>u</v>
          </cell>
          <cell r="E453">
            <v>10.5</v>
          </cell>
          <cell r="G453">
            <v>10.5</v>
          </cell>
        </row>
        <row r="454">
          <cell r="A454">
            <v>445</v>
          </cell>
          <cell r="B454" t="str">
            <v>Poste eléctrico metálico de 4m e=5mm</v>
          </cell>
          <cell r="D454" t="str">
            <v>u</v>
          </cell>
          <cell r="E454">
            <v>210</v>
          </cell>
          <cell r="G454">
            <v>210</v>
          </cell>
        </row>
        <row r="455">
          <cell r="A455">
            <v>446</v>
          </cell>
          <cell r="B455" t="str">
            <v>Estructuras y seccionadores</v>
          </cell>
          <cell r="D455" t="str">
            <v>glb</v>
          </cell>
          <cell r="E455">
            <v>1085.5</v>
          </cell>
          <cell r="G455">
            <v>1085.5</v>
          </cell>
        </row>
        <row r="456">
          <cell r="A456">
            <v>447</v>
          </cell>
          <cell r="B456" t="str">
            <v>Acometidas y Pararrayo</v>
          </cell>
          <cell r="D456" t="str">
            <v>glb</v>
          </cell>
          <cell r="E456">
            <v>2315.5</v>
          </cell>
          <cell r="G456">
            <v>2315.5</v>
          </cell>
        </row>
        <row r="457">
          <cell r="A457">
            <v>448</v>
          </cell>
          <cell r="G457">
            <v>0</v>
          </cell>
        </row>
        <row r="458">
          <cell r="A458">
            <v>449</v>
          </cell>
          <cell r="B458" t="str">
            <v>Estructura para reflectores</v>
          </cell>
          <cell r="D458" t="str">
            <v>u</v>
          </cell>
          <cell r="E458">
            <v>300</v>
          </cell>
          <cell r="G458">
            <v>300</v>
          </cell>
        </row>
        <row r="459">
          <cell r="A459">
            <v>450</v>
          </cell>
          <cell r="B459" t="str">
            <v xml:space="preserve">Reflector HQI 400W 200V </v>
          </cell>
          <cell r="D459" t="str">
            <v>u</v>
          </cell>
          <cell r="E459">
            <v>142</v>
          </cell>
          <cell r="G459">
            <v>142</v>
          </cell>
        </row>
        <row r="460">
          <cell r="A460">
            <v>451</v>
          </cell>
          <cell r="B460" t="str">
            <v>Cajas de AA.SS de 60x60 H= 0,90-2,00m con tapa cerco metálico</v>
          </cell>
          <cell r="D460" t="str">
            <v>u</v>
          </cell>
          <cell r="E460">
            <v>120</v>
          </cell>
          <cell r="G460">
            <v>120</v>
          </cell>
        </row>
        <row r="461">
          <cell r="A461">
            <v>452</v>
          </cell>
          <cell r="B461" t="str">
            <v>Pozo de Revisión h=0,80-2m</v>
          </cell>
          <cell r="D461" t="str">
            <v>u</v>
          </cell>
          <cell r="E461">
            <v>350</v>
          </cell>
          <cell r="G461">
            <v>350</v>
          </cell>
        </row>
        <row r="462">
          <cell r="A462">
            <v>453</v>
          </cell>
          <cell r="B462" t="str">
            <v>Pozo de Revisión h=2-4m</v>
          </cell>
          <cell r="D462" t="str">
            <v>u</v>
          </cell>
          <cell r="E462">
            <v>600</v>
          </cell>
          <cell r="G462">
            <v>600</v>
          </cell>
        </row>
        <row r="463">
          <cell r="A463">
            <v>454</v>
          </cell>
          <cell r="B463" t="str">
            <v>Cerco y rejilla de sumidero</v>
          </cell>
          <cell r="D463" t="str">
            <v>u</v>
          </cell>
          <cell r="E463">
            <v>55</v>
          </cell>
          <cell r="G463">
            <v>55</v>
          </cell>
        </row>
        <row r="464">
          <cell r="A464">
            <v>455</v>
          </cell>
          <cell r="B464" t="str">
            <v>Sumidero de H.S. prefabricado</v>
          </cell>
          <cell r="D464" t="str">
            <v>u</v>
          </cell>
          <cell r="E464">
            <v>35</v>
          </cell>
          <cell r="G464">
            <v>35</v>
          </cell>
        </row>
        <row r="465">
          <cell r="A465">
            <v>456</v>
          </cell>
          <cell r="B465" t="str">
            <v xml:space="preserve">Canal recolector HS 210 kg/cm2 inc. Rejilla </v>
          </cell>
          <cell r="D465" t="str">
            <v>ml</v>
          </cell>
          <cell r="E465">
            <v>26</v>
          </cell>
          <cell r="G465">
            <v>26</v>
          </cell>
        </row>
        <row r="466">
          <cell r="A466">
            <v>457</v>
          </cell>
          <cell r="B466" t="str">
            <v>Soldadura de plata</v>
          </cell>
          <cell r="D466" t="str">
            <v>Kg</v>
          </cell>
          <cell r="E466">
            <v>160</v>
          </cell>
          <cell r="G466">
            <v>160</v>
          </cell>
        </row>
        <row r="467">
          <cell r="A467">
            <v>458</v>
          </cell>
          <cell r="B467" t="str">
            <v>Tubería de Cobre D=1/2"  Tipo L</v>
          </cell>
          <cell r="D467" t="str">
            <v>ml</v>
          </cell>
          <cell r="E467">
            <v>4.9000000000000004</v>
          </cell>
          <cell r="G467">
            <v>4.9000000000000004</v>
          </cell>
        </row>
        <row r="468">
          <cell r="A468">
            <v>459</v>
          </cell>
          <cell r="B468" t="str">
            <v>ALIMENTADOR CABLE SUCRE # 12</v>
          </cell>
          <cell r="D468" t="str">
            <v>M</v>
          </cell>
          <cell r="E468">
            <v>1.6</v>
          </cell>
          <cell r="G468">
            <v>1.6</v>
          </cell>
        </row>
        <row r="469">
          <cell r="A469">
            <v>460</v>
          </cell>
          <cell r="B469" t="str">
            <v>Aislamiento rubatex</v>
          </cell>
          <cell r="D469" t="str">
            <v>ml</v>
          </cell>
          <cell r="E469">
            <v>2.7</v>
          </cell>
          <cell r="G469">
            <v>2.7</v>
          </cell>
        </row>
        <row r="470">
          <cell r="A470">
            <v>461</v>
          </cell>
          <cell r="B470" t="str">
            <v>Centralina de gas (GLP) para cocina</v>
          </cell>
          <cell r="D470" t="str">
            <v>u</v>
          </cell>
          <cell r="E470">
            <v>625</v>
          </cell>
          <cell r="G470">
            <v>625</v>
          </cell>
        </row>
        <row r="471">
          <cell r="A471">
            <v>462</v>
          </cell>
          <cell r="B471" t="str">
            <v>DIFUSOR DE SUMINISTRO 10"X10"</v>
          </cell>
          <cell r="D471" t="str">
            <v>u</v>
          </cell>
          <cell r="E471">
            <v>24</v>
          </cell>
          <cell r="G471">
            <v>24</v>
          </cell>
        </row>
        <row r="472">
          <cell r="A472">
            <v>463</v>
          </cell>
          <cell r="B472" t="str">
            <v>Ducto de tol galvanizado sin aislamiento</v>
          </cell>
          <cell r="D472" t="str">
            <v>Kg</v>
          </cell>
          <cell r="E472">
            <v>4.2</v>
          </cell>
          <cell r="G472">
            <v>4.2</v>
          </cell>
        </row>
        <row r="473">
          <cell r="A473">
            <v>464</v>
          </cell>
          <cell r="B473" t="str">
            <v>SISTEMA  DE VENTILACION (EXTRACCION)  TIPO CENTRIFUGO DE 1500CFM  (DUCTOS, REJILLAS Y MOTOR)</v>
          </cell>
          <cell r="D473" t="str">
            <v>u</v>
          </cell>
          <cell r="E473">
            <v>960</v>
          </cell>
          <cell r="G473">
            <v>960</v>
          </cell>
        </row>
        <row r="474">
          <cell r="A474">
            <v>465</v>
          </cell>
          <cell r="B474" t="str">
            <v>EXTRACTOR TIPO HONGO, 1500 CFM</v>
          </cell>
          <cell r="D474" t="str">
            <v>u</v>
          </cell>
          <cell r="E474">
            <v>985</v>
          </cell>
          <cell r="G474">
            <v>985</v>
          </cell>
        </row>
        <row r="475">
          <cell r="A475">
            <v>466</v>
          </cell>
          <cell r="B475" t="str">
            <v>Gas refrigerante R 410</v>
          </cell>
          <cell r="D475" t="str">
            <v>Lb</v>
          </cell>
          <cell r="E475">
            <v>10.6</v>
          </cell>
          <cell r="G475">
            <v>10.6</v>
          </cell>
        </row>
        <row r="476">
          <cell r="A476">
            <v>467</v>
          </cell>
          <cell r="B476" t="str">
            <v>MANGA FLEXIBLE DIAM. 4" SIN AISLAMIENTO</v>
          </cell>
          <cell r="D476" t="str">
            <v>ml</v>
          </cell>
          <cell r="E476">
            <v>14.5</v>
          </cell>
          <cell r="G476">
            <v>14.5</v>
          </cell>
        </row>
        <row r="477">
          <cell r="A477">
            <v>468</v>
          </cell>
          <cell r="B477" t="str">
            <v>ASFALUM.</v>
          </cell>
          <cell r="D477" t="str">
            <v>m2</v>
          </cell>
          <cell r="E477">
            <v>11</v>
          </cell>
          <cell r="G477">
            <v>11</v>
          </cell>
        </row>
        <row r="478">
          <cell r="A478">
            <v>469</v>
          </cell>
          <cell r="B478" t="str">
            <v>Rejilla de extracción de  6"X6''</v>
          </cell>
          <cell r="D478" t="str">
            <v>u</v>
          </cell>
          <cell r="E478">
            <v>22</v>
          </cell>
          <cell r="G478">
            <v>22</v>
          </cell>
        </row>
        <row r="479">
          <cell r="A479">
            <v>470</v>
          </cell>
          <cell r="B479" t="str">
            <v>Split consola de 24000BTU/H, R410A.incluye arranque y puesta en marcha, 1,8Kw,208-220V/1ph/60Hz</v>
          </cell>
          <cell r="D479" t="str">
            <v>u</v>
          </cell>
          <cell r="E479">
            <v>900</v>
          </cell>
          <cell r="G479">
            <v>900</v>
          </cell>
        </row>
        <row r="480">
          <cell r="A480">
            <v>471</v>
          </cell>
          <cell r="B480" t="str">
            <v>SPLIT CONSOLA VISTA PARED DE  36000BTU/H,CON R410A.  INCLUYE ARRANQUE, 1,2KV  208-220V/1PH/60HZ</v>
          </cell>
          <cell r="D480" t="str">
            <v>u</v>
          </cell>
          <cell r="E480">
            <v>1500</v>
          </cell>
          <cell r="G480">
            <v>1500</v>
          </cell>
        </row>
        <row r="481">
          <cell r="A481">
            <v>472</v>
          </cell>
          <cell r="B481" t="str">
            <v>Tubería de Cobre ACR 1/4</v>
          </cell>
          <cell r="D481" t="str">
            <v>ml</v>
          </cell>
          <cell r="E481">
            <v>4.8</v>
          </cell>
          <cell r="G481">
            <v>4.8</v>
          </cell>
        </row>
        <row r="482">
          <cell r="A482">
            <v>473</v>
          </cell>
          <cell r="B482" t="str">
            <v>Tubería de Cobre ACR 3/8</v>
          </cell>
          <cell r="D482" t="str">
            <v>ml</v>
          </cell>
          <cell r="E482">
            <v>7.25</v>
          </cell>
          <cell r="G482">
            <v>7.25</v>
          </cell>
        </row>
        <row r="483">
          <cell r="A483">
            <v>474</v>
          </cell>
          <cell r="B483" t="str">
            <v>Tubería de Cobre ACR 1/2</v>
          </cell>
          <cell r="D483" t="str">
            <v>ml</v>
          </cell>
          <cell r="E483">
            <v>10.199999999999999</v>
          </cell>
          <cell r="G483">
            <v>10.199999999999999</v>
          </cell>
        </row>
        <row r="484">
          <cell r="A484">
            <v>475</v>
          </cell>
          <cell r="B484" t="str">
            <v>Tubería de Cobre ACR 5/8</v>
          </cell>
          <cell r="D484" t="str">
            <v>ml</v>
          </cell>
          <cell r="E484">
            <v>12.5</v>
          </cell>
          <cell r="G484">
            <v>12.5</v>
          </cell>
        </row>
        <row r="485">
          <cell r="A485">
            <v>476</v>
          </cell>
          <cell r="B485" t="str">
            <v xml:space="preserve"> SPLIT CONSOLA DE 24000BTU/H, R410A, 1,8KW,208-220V/1PH/60HZ</v>
          </cell>
          <cell r="D485" t="str">
            <v>u</v>
          </cell>
          <cell r="E485">
            <v>1500</v>
          </cell>
          <cell r="G485">
            <v>1500</v>
          </cell>
        </row>
        <row r="486">
          <cell r="A486">
            <v>477</v>
          </cell>
          <cell r="B486" t="str">
            <v>Barrera vehicular electrónica</v>
          </cell>
          <cell r="D486" t="str">
            <v>u</v>
          </cell>
          <cell r="E486">
            <v>10200</v>
          </cell>
          <cell r="G486">
            <v>10200</v>
          </cell>
        </row>
        <row r="487">
          <cell r="A487">
            <v>478</v>
          </cell>
          <cell r="B487" t="str">
            <v>Escalera eléctricas</v>
          </cell>
          <cell r="D487" t="str">
            <v>u</v>
          </cell>
          <cell r="E487">
            <v>64500</v>
          </cell>
          <cell r="G487">
            <v>64500</v>
          </cell>
        </row>
        <row r="488">
          <cell r="A488">
            <v>479</v>
          </cell>
          <cell r="B488" t="str">
            <v>Ascensor para discapacitados cap. 3 personas (200Kg)</v>
          </cell>
          <cell r="D488" t="str">
            <v>u</v>
          </cell>
          <cell r="E488">
            <v>39000</v>
          </cell>
          <cell r="G488">
            <v>39000</v>
          </cell>
        </row>
        <row r="489">
          <cell r="A489">
            <v>480</v>
          </cell>
          <cell r="B489" t="str">
            <v>Extractor de baño 100 CFM</v>
          </cell>
          <cell r="D489" t="str">
            <v>u</v>
          </cell>
          <cell r="E489">
            <v>200</v>
          </cell>
          <cell r="G489">
            <v>200</v>
          </cell>
        </row>
        <row r="490">
          <cell r="A490">
            <v>481</v>
          </cell>
          <cell r="B490" t="str">
            <v>MULTISPLIT 36000BTU/H(12X3),R410A INC. CONSOLAS DECORATIVAS, 208-220V/1PH/60HZ</v>
          </cell>
          <cell r="D490" t="str">
            <v>u</v>
          </cell>
          <cell r="E490">
            <v>1900</v>
          </cell>
          <cell r="G490">
            <v>1900</v>
          </cell>
        </row>
        <row r="491">
          <cell r="A491">
            <v>482</v>
          </cell>
          <cell r="B491" t="str">
            <v>SPLIT CONSOLA DE 12000BTU/H, R410A, 208-220V/1PH/60HZ</v>
          </cell>
          <cell r="D491" t="str">
            <v>u</v>
          </cell>
          <cell r="E491">
            <v>640</v>
          </cell>
          <cell r="G491">
            <v>640</v>
          </cell>
        </row>
        <row r="492">
          <cell r="A492">
            <v>483</v>
          </cell>
          <cell r="B492" t="str">
            <v>MULTISPLIT 48000BTU/H(12*2+24KBTU/H),R410A. Y UN KIT DE TUBERIAS DE CU DE 5M INC. CONSOLAS DECORATIVAS, 208-220V/1PH/60HZ</v>
          </cell>
          <cell r="D492" t="str">
            <v>u</v>
          </cell>
          <cell r="E492">
            <v>2200</v>
          </cell>
          <cell r="G492">
            <v>2200</v>
          </cell>
        </row>
        <row r="493">
          <cell r="A493">
            <v>484</v>
          </cell>
          <cell r="B493" t="str">
            <v>MULTISPLIT 36000BTU/H(18X2),R410A INC. CONSOLAS DECORATIVAS, 208-220V/1PH/60HZ</v>
          </cell>
          <cell r="D493" t="str">
            <v>u</v>
          </cell>
          <cell r="E493">
            <v>1800</v>
          </cell>
          <cell r="G493">
            <v>1800</v>
          </cell>
        </row>
        <row r="494">
          <cell r="A494">
            <v>485</v>
          </cell>
          <cell r="B494" t="str">
            <v>MULTISPLIT 18000BTU/H(9X2),R410A INC. CONSOLAS DECORATIVAS, 208-220V/1PH/60HZ</v>
          </cell>
          <cell r="D494" t="str">
            <v>u</v>
          </cell>
          <cell r="E494">
            <v>1100</v>
          </cell>
          <cell r="G494">
            <v>1100</v>
          </cell>
        </row>
        <row r="495">
          <cell r="A495">
            <v>486</v>
          </cell>
          <cell r="B495" t="str">
            <v>INTERRUPTOR ON/OFF PARA VENTILADOR</v>
          </cell>
          <cell r="D495" t="str">
            <v>u</v>
          </cell>
          <cell r="E495">
            <v>15</v>
          </cell>
          <cell r="G495">
            <v>15</v>
          </cell>
        </row>
        <row r="496">
          <cell r="A496">
            <v>487</v>
          </cell>
          <cell r="B496" t="str">
            <v>Campana de extracción de acero inoxidable 0,8X1,4M incluye filtro para grasa</v>
          </cell>
          <cell r="D496" t="str">
            <v>u</v>
          </cell>
          <cell r="E496">
            <v>950</v>
          </cell>
          <cell r="G496">
            <v>950</v>
          </cell>
        </row>
        <row r="497">
          <cell r="A497">
            <v>488</v>
          </cell>
          <cell r="B497" t="str">
            <v>Extractor tipo hongo 800 CFM</v>
          </cell>
          <cell r="D497" t="str">
            <v>u</v>
          </cell>
          <cell r="E497">
            <v>1025</v>
          </cell>
          <cell r="G497">
            <v>1025</v>
          </cell>
        </row>
        <row r="498">
          <cell r="A498">
            <v>489</v>
          </cell>
          <cell r="B498" t="str">
            <v>VENTILADOR DE TUMBADO DE 48"</v>
          </cell>
          <cell r="D498" t="str">
            <v>u</v>
          </cell>
          <cell r="E498">
            <v>160</v>
          </cell>
          <cell r="G498">
            <v>160</v>
          </cell>
        </row>
        <row r="499">
          <cell r="A499">
            <v>490</v>
          </cell>
          <cell r="B499" t="str">
            <v>Alucobon 4mm</v>
          </cell>
          <cell r="D499" t="str">
            <v>m2</v>
          </cell>
          <cell r="E499">
            <v>35</v>
          </cell>
          <cell r="G499">
            <v>35</v>
          </cell>
        </row>
        <row r="500">
          <cell r="A500">
            <v>491</v>
          </cell>
          <cell r="B500" t="str">
            <v>Perfil de aluminio 1x3/4'' (6,40m)</v>
          </cell>
          <cell r="D500" t="str">
            <v>u</v>
          </cell>
          <cell r="E500">
            <v>3.2</v>
          </cell>
          <cell r="G500">
            <v>3.2</v>
          </cell>
        </row>
        <row r="501">
          <cell r="A501">
            <v>492</v>
          </cell>
          <cell r="B501" t="str">
            <v>Bomba de 6HP inc. Tablero de operación y accesorios</v>
          </cell>
          <cell r="D501" t="str">
            <v>u</v>
          </cell>
          <cell r="E501">
            <v>5200</v>
          </cell>
          <cell r="G501">
            <v>5200</v>
          </cell>
        </row>
        <row r="502">
          <cell r="A502">
            <v>493</v>
          </cell>
          <cell r="B502" t="str">
            <v>Tanque hidroneumático 119.7 galones</v>
          </cell>
          <cell r="D502" t="str">
            <v>u</v>
          </cell>
          <cell r="E502">
            <v>2300</v>
          </cell>
          <cell r="G502">
            <v>2300</v>
          </cell>
        </row>
        <row r="503">
          <cell r="A503">
            <v>494</v>
          </cell>
          <cell r="B503" t="str">
            <v>Bomba de 7,5HP sistema contra incendios</v>
          </cell>
          <cell r="D503" t="str">
            <v>u</v>
          </cell>
          <cell r="E503">
            <v>1680</v>
          </cell>
          <cell r="G503">
            <v>1680</v>
          </cell>
        </row>
        <row r="504">
          <cell r="A504">
            <v>495</v>
          </cell>
          <cell r="B504" t="str">
            <v>Bomba jockey 1,5HP tipo Grundfos trifásica</v>
          </cell>
          <cell r="D504" t="str">
            <v>u</v>
          </cell>
          <cell r="E504">
            <v>1250</v>
          </cell>
          <cell r="G504">
            <v>1250</v>
          </cell>
        </row>
        <row r="505">
          <cell r="A505">
            <v>496</v>
          </cell>
          <cell r="B505" t="str">
            <v>Tablero de operación sistema contra incendios</v>
          </cell>
          <cell r="D505" t="str">
            <v>u</v>
          </cell>
          <cell r="E505">
            <v>1900</v>
          </cell>
          <cell r="G505">
            <v>1900</v>
          </cell>
        </row>
        <row r="506">
          <cell r="A506">
            <v>497</v>
          </cell>
          <cell r="B506" t="str">
            <v>Planta Potabilizadora por hidroxigenacion iónica cap. 35 GPM</v>
          </cell>
          <cell r="D506" t="str">
            <v>glb</v>
          </cell>
          <cell r="E506">
            <v>20400</v>
          </cell>
          <cell r="G506">
            <v>20400</v>
          </cell>
        </row>
        <row r="507">
          <cell r="A507">
            <v>498</v>
          </cell>
          <cell r="B507" t="str">
            <v>Llave de manguera de bronce tipo FV D=1/2''</v>
          </cell>
          <cell r="D507" t="str">
            <v>u</v>
          </cell>
          <cell r="E507">
            <v>5</v>
          </cell>
          <cell r="G507">
            <v>5</v>
          </cell>
        </row>
        <row r="508">
          <cell r="A508">
            <v>499</v>
          </cell>
          <cell r="B508" t="str">
            <v>Válvula de control 90mm. RW</v>
          </cell>
          <cell r="D508" t="str">
            <v>u</v>
          </cell>
          <cell r="E508">
            <v>28</v>
          </cell>
          <cell r="G508">
            <v>28</v>
          </cell>
        </row>
        <row r="509">
          <cell r="A509">
            <v>500</v>
          </cell>
          <cell r="B509" t="str">
            <v>Luminaria tipo globo de 70W Na- a220V</v>
          </cell>
          <cell r="D509" t="str">
            <v>U</v>
          </cell>
          <cell r="E509">
            <v>100</v>
          </cell>
          <cell r="G509">
            <v>100</v>
          </cell>
        </row>
        <row r="510">
          <cell r="A510">
            <v>501</v>
          </cell>
          <cell r="B510" t="str">
            <v>Poste eléctrico ornamental de 9m E=5mm</v>
          </cell>
          <cell r="D510" t="str">
            <v>u</v>
          </cell>
          <cell r="E510">
            <v>400</v>
          </cell>
          <cell r="G510">
            <v>400</v>
          </cell>
        </row>
        <row r="511">
          <cell r="A511">
            <v>502</v>
          </cell>
          <cell r="B511" t="str">
            <v>LUMINARIA CERRADA DE SODIO ALTO RENDIMIENTO 150W AUTO CONT</v>
          </cell>
          <cell r="D511" t="str">
            <v>U</v>
          </cell>
          <cell r="E511">
            <v>220</v>
          </cell>
          <cell r="G511">
            <v>220</v>
          </cell>
        </row>
        <row r="512">
          <cell r="A512">
            <v>503</v>
          </cell>
          <cell r="B512" t="str">
            <v>BASES PARA POSTE ORNAMENTAL DE 9 M</v>
          </cell>
          <cell r="D512" t="str">
            <v>U</v>
          </cell>
          <cell r="E512">
            <v>60</v>
          </cell>
          <cell r="G512">
            <v>60</v>
          </cell>
        </row>
        <row r="513">
          <cell r="A513">
            <v>504</v>
          </cell>
          <cell r="B513" t="str">
            <v>Manguera de 2'' con accesorios</v>
          </cell>
          <cell r="D513" t="str">
            <v>ml</v>
          </cell>
          <cell r="E513">
            <v>2</v>
          </cell>
          <cell r="G513">
            <v>2</v>
          </cell>
        </row>
        <row r="514">
          <cell r="A514">
            <v>505</v>
          </cell>
          <cell r="B514" t="str">
            <v>CONDUCTOR #10 FLEXIBLE THHN</v>
          </cell>
          <cell r="D514" t="str">
            <v>M</v>
          </cell>
          <cell r="E514">
            <v>1</v>
          </cell>
          <cell r="G514">
            <v>1</v>
          </cell>
        </row>
        <row r="515">
          <cell r="A515">
            <v>506</v>
          </cell>
          <cell r="B515" t="str">
            <v>CONDUCTOR THHN #8 CABLEADO 7 HILOS</v>
          </cell>
          <cell r="D515" t="str">
            <v>M</v>
          </cell>
          <cell r="E515">
            <v>1.75</v>
          </cell>
          <cell r="G515">
            <v>1.75</v>
          </cell>
        </row>
        <row r="516">
          <cell r="A516">
            <v>507</v>
          </cell>
          <cell r="B516" t="str">
            <v>CONDUCTOR THHN #4</v>
          </cell>
          <cell r="D516" t="str">
            <v>M</v>
          </cell>
          <cell r="E516">
            <v>4</v>
          </cell>
          <cell r="G516">
            <v>4</v>
          </cell>
        </row>
        <row r="517">
          <cell r="A517">
            <v>508</v>
          </cell>
          <cell r="B517" t="str">
            <v>Tablero de control de iluminación con temporizador</v>
          </cell>
          <cell r="D517" t="str">
            <v>u</v>
          </cell>
          <cell r="E517">
            <v>180</v>
          </cell>
          <cell r="G517">
            <v>180</v>
          </cell>
        </row>
        <row r="518">
          <cell r="A518">
            <v>509</v>
          </cell>
          <cell r="B518" t="str">
            <v>Tablero 500A con barras</v>
          </cell>
          <cell r="D518" t="str">
            <v>U</v>
          </cell>
          <cell r="E518">
            <v>2150</v>
          </cell>
          <cell r="G518">
            <v>2150</v>
          </cell>
        </row>
        <row r="519">
          <cell r="A519">
            <v>510</v>
          </cell>
          <cell r="B519" t="str">
            <v>TABLERO DE TRANSFERENCIA 600A</v>
          </cell>
          <cell r="D519" t="str">
            <v>U</v>
          </cell>
          <cell r="E519">
            <v>655</v>
          </cell>
          <cell r="G519">
            <v>655</v>
          </cell>
        </row>
        <row r="520">
          <cell r="A520">
            <v>511</v>
          </cell>
          <cell r="B520" t="str">
            <v>TABLERO DE DISTRIBUCIÓN 300 A</v>
          </cell>
          <cell r="D520" t="str">
            <v>U</v>
          </cell>
          <cell r="E520">
            <v>520</v>
          </cell>
          <cell r="G520">
            <v>520</v>
          </cell>
        </row>
        <row r="521">
          <cell r="A521">
            <v>512</v>
          </cell>
          <cell r="B521" t="str">
            <v>CONDUCTOR 500 MCM HIPERFLEX</v>
          </cell>
          <cell r="D521" t="str">
            <v>M</v>
          </cell>
          <cell r="E521">
            <v>47.25</v>
          </cell>
          <cell r="G521">
            <v>47.25</v>
          </cell>
        </row>
        <row r="522">
          <cell r="A522">
            <v>513</v>
          </cell>
          <cell r="B522" t="str">
            <v>TUBERÍA PVC ELÉCTRICA PVC CORRUGADA 4"</v>
          </cell>
          <cell r="D522" t="str">
            <v>M</v>
          </cell>
          <cell r="E522">
            <v>3.5</v>
          </cell>
          <cell r="G522">
            <v>3.5</v>
          </cell>
        </row>
        <row r="523">
          <cell r="A523">
            <v>514</v>
          </cell>
          <cell r="B523" t="str">
            <v>SISTEMA DE TIERRA CON TRES VARILLAS EN TRIANGULO DE 3M DE LADO</v>
          </cell>
          <cell r="D523" t="str">
            <v>GLB</v>
          </cell>
          <cell r="E523">
            <v>200</v>
          </cell>
          <cell r="G523">
            <v>200</v>
          </cell>
        </row>
        <row r="524">
          <cell r="A524">
            <v>515</v>
          </cell>
          <cell r="B524" t="str">
            <v>Moldes para fundición exotérmica</v>
          </cell>
          <cell r="D524" t="str">
            <v>glb</v>
          </cell>
          <cell r="E524">
            <v>1000</v>
          </cell>
          <cell r="G524">
            <v>1000</v>
          </cell>
        </row>
        <row r="525">
          <cell r="A525">
            <v>516</v>
          </cell>
          <cell r="B525" t="str">
            <v>Terminales de cobre ajustables con perno por equipo</v>
          </cell>
          <cell r="D525" t="str">
            <v>u</v>
          </cell>
          <cell r="E525">
            <v>25</v>
          </cell>
          <cell r="G525">
            <v>25</v>
          </cell>
        </row>
        <row r="526">
          <cell r="A526">
            <v>517</v>
          </cell>
          <cell r="B526" t="str">
            <v>Tirafusible tipo Slow Fast de 20 A.</v>
          </cell>
          <cell r="D526" t="str">
            <v>u</v>
          </cell>
          <cell r="E526">
            <v>8.25</v>
          </cell>
          <cell r="G526">
            <v>8.25</v>
          </cell>
        </row>
        <row r="527">
          <cell r="A527">
            <v>518</v>
          </cell>
          <cell r="B527" t="str">
            <v>Seccionador fusible 7.8/15 KV -100 A. Tipo abierto.</v>
          </cell>
          <cell r="D527" t="str">
            <v>u</v>
          </cell>
          <cell r="E527">
            <v>155</v>
          </cell>
          <cell r="G527">
            <v>155</v>
          </cell>
        </row>
        <row r="528">
          <cell r="A528">
            <v>519</v>
          </cell>
          <cell r="B528" t="str">
            <v>Pararrayo  distribución</v>
          </cell>
          <cell r="D528" t="str">
            <v>u</v>
          </cell>
          <cell r="E528">
            <v>125</v>
          </cell>
          <cell r="G528">
            <v>125</v>
          </cell>
        </row>
        <row r="529">
          <cell r="A529">
            <v>520</v>
          </cell>
          <cell r="B529" t="str">
            <v>Conductor #2 AWG-XLPE - 15 KV</v>
          </cell>
          <cell r="D529" t="str">
            <v>m</v>
          </cell>
          <cell r="E529">
            <v>21.25</v>
          </cell>
          <cell r="G529">
            <v>21.25</v>
          </cell>
        </row>
        <row r="530">
          <cell r="A530">
            <v>521</v>
          </cell>
          <cell r="B530" t="str">
            <v>Conductor de aluminio desnudo, calibre # 2 AWG - ACSR</v>
          </cell>
          <cell r="D530" t="str">
            <v>m</v>
          </cell>
          <cell r="E530">
            <v>1.05</v>
          </cell>
          <cell r="G530">
            <v>1.05</v>
          </cell>
        </row>
        <row r="531">
          <cell r="A531">
            <v>522</v>
          </cell>
          <cell r="B531" t="str">
            <v xml:space="preserve">Conductor de cobre aislado, calibre # 2 AWG-TTU </v>
          </cell>
          <cell r="D531" t="str">
            <v>m</v>
          </cell>
          <cell r="E531">
            <v>6.55</v>
          </cell>
          <cell r="G531">
            <v>6.55</v>
          </cell>
        </row>
        <row r="532">
          <cell r="A532">
            <v>523</v>
          </cell>
          <cell r="B532" t="str">
            <v xml:space="preserve">Conductor de cobre desnudo, calibre # 2 AWG </v>
          </cell>
          <cell r="D532" t="str">
            <v>m</v>
          </cell>
          <cell r="E532">
            <v>8.3040000000000003</v>
          </cell>
          <cell r="G532">
            <v>8.3040000000000003</v>
          </cell>
        </row>
        <row r="533">
          <cell r="A533">
            <v>524</v>
          </cell>
          <cell r="B533" t="str">
            <v xml:space="preserve">Conductor de cobre desnudo, calibre # 4 AWG </v>
          </cell>
          <cell r="D533" t="str">
            <v>m</v>
          </cell>
          <cell r="E533">
            <v>4</v>
          </cell>
          <cell r="G533">
            <v>4</v>
          </cell>
        </row>
        <row r="534">
          <cell r="A534">
            <v>525</v>
          </cell>
          <cell r="B534" t="str">
            <v>Conector perno hendido # 6 - 1/0 AWG, Cu - Al.</v>
          </cell>
          <cell r="D534" t="str">
            <v>u</v>
          </cell>
          <cell r="E534">
            <v>4.05</v>
          </cell>
          <cell r="G534">
            <v>4.05</v>
          </cell>
        </row>
        <row r="535">
          <cell r="A535">
            <v>526</v>
          </cell>
          <cell r="B535" t="str">
            <v>Grapa de línea energizada # 6 - 1/0 AWG</v>
          </cell>
          <cell r="D535" t="str">
            <v>u</v>
          </cell>
          <cell r="E535">
            <v>7.88</v>
          </cell>
          <cell r="G535">
            <v>7.88</v>
          </cell>
        </row>
        <row r="536">
          <cell r="A536">
            <v>527</v>
          </cell>
          <cell r="B536" t="str">
            <v>Perno máquna 1/2" x 1 1/2" con tuerca y arandelas</v>
          </cell>
          <cell r="D536" t="str">
            <v>u</v>
          </cell>
          <cell r="E536">
            <v>1.4</v>
          </cell>
          <cell r="G536">
            <v>1.4</v>
          </cell>
        </row>
        <row r="537">
          <cell r="A537">
            <v>528</v>
          </cell>
          <cell r="B537" t="str">
            <v>Punta terminal, tipo exterior, premoldeada, calibre # 2, 3M, 15 KV</v>
          </cell>
          <cell r="D537" t="str">
            <v>u</v>
          </cell>
          <cell r="E537">
            <v>8</v>
          </cell>
          <cell r="G537">
            <v>8</v>
          </cell>
        </row>
        <row r="538">
          <cell r="A538">
            <v>529</v>
          </cell>
          <cell r="B538" t="str">
            <v>Barra de parqueamiento de tres puntos, para 15 KV</v>
          </cell>
          <cell r="D538" t="str">
            <v>u</v>
          </cell>
          <cell r="E538">
            <v>5</v>
          </cell>
          <cell r="G538">
            <v>5</v>
          </cell>
        </row>
        <row r="539">
          <cell r="A539">
            <v>530</v>
          </cell>
          <cell r="B539" t="str">
            <v>Varilla copperweld  5/8"x1,8 m</v>
          </cell>
          <cell r="D539" t="str">
            <v>u</v>
          </cell>
          <cell r="E539">
            <v>14</v>
          </cell>
          <cell r="G539">
            <v>14</v>
          </cell>
        </row>
        <row r="540">
          <cell r="A540">
            <v>531</v>
          </cell>
          <cell r="B540" t="str">
            <v>Poste de Ho. Ao. De 12 metros, 500kg</v>
          </cell>
          <cell r="D540" t="str">
            <v>u</v>
          </cell>
          <cell r="E540">
            <v>245</v>
          </cell>
          <cell r="G540">
            <v>245</v>
          </cell>
        </row>
        <row r="541">
          <cell r="A541">
            <v>532</v>
          </cell>
          <cell r="B541" t="str">
            <v>Aislador tipo pol'imetro PDI 15</v>
          </cell>
          <cell r="D541" t="str">
            <v>u</v>
          </cell>
          <cell r="E541">
            <v>18</v>
          </cell>
          <cell r="G541">
            <v>18</v>
          </cell>
        </row>
        <row r="542">
          <cell r="A542">
            <v>533</v>
          </cell>
          <cell r="B542" t="str">
            <v>Aislador tipo rollo, clase ANSI 53-2</v>
          </cell>
          <cell r="D542" t="str">
            <v>u</v>
          </cell>
          <cell r="E542">
            <v>6</v>
          </cell>
          <cell r="G542">
            <v>6</v>
          </cell>
        </row>
        <row r="543">
          <cell r="A543">
            <v>534</v>
          </cell>
          <cell r="B543" t="str">
            <v>Perno máquna 5/8" x 10" con tuerca y arandelas</v>
          </cell>
          <cell r="D543" t="str">
            <v>u</v>
          </cell>
          <cell r="E543">
            <v>5</v>
          </cell>
          <cell r="G543">
            <v>5</v>
          </cell>
        </row>
        <row r="544">
          <cell r="A544">
            <v>535</v>
          </cell>
          <cell r="B544" t="str">
            <v>Bastidor de una v'ia con base</v>
          </cell>
          <cell r="D544" t="str">
            <v>u</v>
          </cell>
          <cell r="E544">
            <v>2.7</v>
          </cell>
          <cell r="G544">
            <v>2.7</v>
          </cell>
        </row>
        <row r="545">
          <cell r="A545">
            <v>536</v>
          </cell>
          <cell r="B545" t="str">
            <v>Grapa horquilla terminal</v>
          </cell>
          <cell r="D545" t="str">
            <v>u</v>
          </cell>
          <cell r="E545">
            <v>15</v>
          </cell>
          <cell r="G545">
            <v>15</v>
          </cell>
        </row>
        <row r="546">
          <cell r="A546">
            <v>537</v>
          </cell>
          <cell r="B546" t="str">
            <v>Eslabon candado</v>
          </cell>
          <cell r="D546" t="str">
            <v>u</v>
          </cell>
          <cell r="E546">
            <v>8</v>
          </cell>
          <cell r="G546">
            <v>8</v>
          </cell>
        </row>
        <row r="547">
          <cell r="A547">
            <v>538</v>
          </cell>
          <cell r="B547" t="str">
            <v>Varilla de retencion DG-4542 para calibre # 2 AWG</v>
          </cell>
          <cell r="D547" t="str">
            <v>u</v>
          </cell>
          <cell r="E547">
            <v>1.75</v>
          </cell>
          <cell r="G547">
            <v>1.75</v>
          </cell>
        </row>
        <row r="548">
          <cell r="A548">
            <v>539</v>
          </cell>
          <cell r="B548" t="str">
            <v>Tubo metálico EMT de 2" x 3 m.</v>
          </cell>
          <cell r="D548" t="str">
            <v>u</v>
          </cell>
          <cell r="E548">
            <v>17.850000000000001</v>
          </cell>
          <cell r="G548">
            <v>17.850000000000001</v>
          </cell>
        </row>
        <row r="549">
          <cell r="A549">
            <v>540</v>
          </cell>
          <cell r="B549" t="str">
            <v>Unión metálica EMT de 2"</v>
          </cell>
          <cell r="D549" t="str">
            <v>u</v>
          </cell>
          <cell r="E549">
            <v>1.86</v>
          </cell>
          <cell r="G549">
            <v>1.86</v>
          </cell>
        </row>
        <row r="550">
          <cell r="A550">
            <v>541</v>
          </cell>
          <cell r="B550" t="str">
            <v>Codo metálico EMT de 1"</v>
          </cell>
          <cell r="D550" t="str">
            <v>u</v>
          </cell>
          <cell r="E550">
            <v>1.5</v>
          </cell>
          <cell r="G550">
            <v>1.5</v>
          </cell>
        </row>
        <row r="551">
          <cell r="A551">
            <v>542</v>
          </cell>
          <cell r="B551" t="str">
            <v>Reversible metálico EMT de 2"</v>
          </cell>
          <cell r="D551" t="str">
            <v>u</v>
          </cell>
          <cell r="E551">
            <v>3.5</v>
          </cell>
          <cell r="G551">
            <v>3.5</v>
          </cell>
        </row>
        <row r="552">
          <cell r="A552">
            <v>543</v>
          </cell>
          <cell r="B552" t="str">
            <v>Cinta eriband de 3/4"</v>
          </cell>
          <cell r="D552" t="str">
            <v>m</v>
          </cell>
          <cell r="E552">
            <v>18</v>
          </cell>
          <cell r="G552">
            <v>18</v>
          </cell>
        </row>
        <row r="553">
          <cell r="A553">
            <v>544</v>
          </cell>
          <cell r="B553" t="str">
            <v>Hebilla de 3/4"</v>
          </cell>
          <cell r="D553" t="str">
            <v>u</v>
          </cell>
          <cell r="E553">
            <v>12</v>
          </cell>
          <cell r="G553">
            <v>12</v>
          </cell>
        </row>
        <row r="554">
          <cell r="A554">
            <v>545</v>
          </cell>
          <cell r="B554" t="str">
            <v>Cruceta metalica de 75x75x1200 mm</v>
          </cell>
          <cell r="D554" t="str">
            <v>u</v>
          </cell>
          <cell r="E554">
            <v>79</v>
          </cell>
          <cell r="G554">
            <v>79</v>
          </cell>
        </row>
        <row r="555">
          <cell r="A555">
            <v>546</v>
          </cell>
          <cell r="B555" t="str">
            <v>Pie de amigo de 37x37x6x810 mm</v>
          </cell>
          <cell r="D555">
            <v>18</v>
          </cell>
          <cell r="E555">
            <v>18</v>
          </cell>
          <cell r="G555">
            <v>18</v>
          </cell>
        </row>
        <row r="556">
          <cell r="A556">
            <v>547</v>
          </cell>
          <cell r="B556" t="str">
            <v>Pozo de revisión, tipo "B"</v>
          </cell>
          <cell r="D556" t="str">
            <v>u</v>
          </cell>
          <cell r="E556">
            <v>115</v>
          </cell>
          <cell r="G556">
            <v>115</v>
          </cell>
        </row>
        <row r="557">
          <cell r="A557">
            <v>548</v>
          </cell>
          <cell r="B557" t="str">
            <v>Canalización, zanja tipo "1".</v>
          </cell>
          <cell r="D557" t="str">
            <v>m</v>
          </cell>
          <cell r="E557">
            <v>32</v>
          </cell>
          <cell r="G557">
            <v>32</v>
          </cell>
        </row>
        <row r="558">
          <cell r="A558">
            <v>549</v>
          </cell>
          <cell r="B558" t="str">
            <v>Pozo de revisión, tipo "C"</v>
          </cell>
          <cell r="D558" t="str">
            <v>u</v>
          </cell>
          <cell r="E558">
            <v>105</v>
          </cell>
          <cell r="G558">
            <v>105</v>
          </cell>
        </row>
        <row r="559">
          <cell r="A559">
            <v>550</v>
          </cell>
          <cell r="B559" t="str">
            <v>Canalización, zanja tipo "2". (2 tubos de 3")</v>
          </cell>
          <cell r="D559" t="str">
            <v>m</v>
          </cell>
          <cell r="E559">
            <v>28</v>
          </cell>
          <cell r="G559">
            <v>28</v>
          </cell>
        </row>
        <row r="560">
          <cell r="A560">
            <v>551</v>
          </cell>
          <cell r="B560" t="str">
            <v>Tablero de distribución principal TDP y medidores</v>
          </cell>
          <cell r="D560" t="str">
            <v>glb</v>
          </cell>
          <cell r="E560">
            <v>8165.32</v>
          </cell>
          <cell r="G560">
            <v>8165.32</v>
          </cell>
        </row>
        <row r="561">
          <cell r="A561">
            <v>552</v>
          </cell>
          <cell r="B561" t="str">
            <v>Tablero de distribución proteccion principal TPP, de tool 1/16" metálico, de 200x100x40 cm. Dos compartimientos. Con capacidad para insertar :  - 1 Interruptor termomagnético trifasico, caja moldeada, regulable de 500-1250 A&gt;85KA ruptura a 230V   - 2 Interruptor termomagnético trifasico, caja moldeada, regulable de 320-800 A&gt;85KA ruptura a 230V   - 2 Barra de Cu Electrolitica Neutro y Tierra 800 A</v>
          </cell>
          <cell r="D561" t="str">
            <v>u</v>
          </cell>
          <cell r="E561">
            <v>1150</v>
          </cell>
          <cell r="G561">
            <v>1150</v>
          </cell>
        </row>
        <row r="562">
          <cell r="A562">
            <v>553</v>
          </cell>
          <cell r="B562" t="str">
            <v>Conductor de cobre aislado, calibre 350MCM-TW</v>
          </cell>
          <cell r="D562" t="str">
            <v>m</v>
          </cell>
          <cell r="E562">
            <v>78</v>
          </cell>
          <cell r="G562">
            <v>78</v>
          </cell>
        </row>
        <row r="563">
          <cell r="A563">
            <v>554</v>
          </cell>
          <cell r="B563" t="str">
            <v>Conductor de cobre aislado, calibre 250MCM-TW</v>
          </cell>
          <cell r="D563" t="str">
            <v>m</v>
          </cell>
          <cell r="E563">
            <v>52</v>
          </cell>
          <cell r="G563">
            <v>52</v>
          </cell>
        </row>
        <row r="564">
          <cell r="A564">
            <v>555</v>
          </cell>
          <cell r="B564" t="str">
            <v>Conductor de cobre aislado, calibre 4/0 AWG-TW</v>
          </cell>
          <cell r="D564" t="str">
            <v>m</v>
          </cell>
          <cell r="E564">
            <v>25</v>
          </cell>
          <cell r="G564">
            <v>25</v>
          </cell>
        </row>
        <row r="565">
          <cell r="A565">
            <v>556</v>
          </cell>
          <cell r="B565" t="str">
            <v>Canaleta Metalica 30x30 con Tapa</v>
          </cell>
          <cell r="D565" t="str">
            <v>m</v>
          </cell>
          <cell r="E565">
            <v>14</v>
          </cell>
          <cell r="G565">
            <v>14</v>
          </cell>
        </row>
        <row r="566">
          <cell r="A566">
            <v>557</v>
          </cell>
          <cell r="B566" t="str">
            <v>Manguera de 2" con cajas de paso y accesorios</v>
          </cell>
          <cell r="D566" t="str">
            <v>m</v>
          </cell>
          <cell r="E566">
            <v>2</v>
          </cell>
          <cell r="G566">
            <v>2</v>
          </cell>
        </row>
        <row r="567">
          <cell r="A567">
            <v>558</v>
          </cell>
          <cell r="B567" t="str">
            <v>Borneras de Puesta a Tierra aisladas para tableros existentes.</v>
          </cell>
          <cell r="D567" t="str">
            <v>u</v>
          </cell>
          <cell r="E567">
            <v>8.5</v>
          </cell>
          <cell r="G567">
            <v>8.5</v>
          </cell>
        </row>
        <row r="568">
          <cell r="A568">
            <v>559</v>
          </cell>
          <cell r="B568" t="str">
            <v>Tablero de distribución proteccion principal TPD1, de tool 1/16", metálico, Caracteristicas Planos Con capacidad Caracteristicas Planos</v>
          </cell>
          <cell r="D568" t="str">
            <v>u</v>
          </cell>
          <cell r="E568">
            <v>3250</v>
          </cell>
          <cell r="G568">
            <v>3250</v>
          </cell>
        </row>
        <row r="569">
          <cell r="A569">
            <v>560</v>
          </cell>
          <cell r="B569" t="str">
            <v>Tablero de distribución proteccion principal TPD2, de tool 1/16" metálico, Caracteristicas Planos Con capacidad Caracteristicas Planos</v>
          </cell>
          <cell r="D569" t="str">
            <v>u</v>
          </cell>
          <cell r="E569">
            <v>2850</v>
          </cell>
          <cell r="G569">
            <v>2850</v>
          </cell>
        </row>
        <row r="570">
          <cell r="A570">
            <v>561</v>
          </cell>
          <cell r="B570" t="str">
            <v>Cinta autofundente # 23 - 3M</v>
          </cell>
          <cell r="D570" t="str">
            <v>u</v>
          </cell>
          <cell r="E570">
            <v>5</v>
          </cell>
          <cell r="G570">
            <v>5</v>
          </cell>
        </row>
        <row r="571">
          <cell r="A571">
            <v>562</v>
          </cell>
          <cell r="B571" t="str">
            <v>Cinta aislante # 33 - 3M</v>
          </cell>
          <cell r="D571" t="str">
            <v>u</v>
          </cell>
          <cell r="E571">
            <v>4</v>
          </cell>
          <cell r="G571">
            <v>4</v>
          </cell>
        </row>
        <row r="572">
          <cell r="A572">
            <v>563</v>
          </cell>
          <cell r="B572" t="str">
            <v>Material menudo (conectores, tacos, clavos, etc)</v>
          </cell>
          <cell r="D572" t="str">
            <v>lote</v>
          </cell>
          <cell r="E572">
            <v>200</v>
          </cell>
          <cell r="G572">
            <v>200</v>
          </cell>
        </row>
        <row r="573">
          <cell r="A573">
            <v>564</v>
          </cell>
          <cell r="B573" t="str">
            <v>THHN - FLEX 12 AWG</v>
          </cell>
          <cell r="D573" t="str">
            <v>ml</v>
          </cell>
          <cell r="E573">
            <v>0.55000000000000004</v>
          </cell>
          <cell r="G573">
            <v>0.55000000000000004</v>
          </cell>
        </row>
        <row r="574">
          <cell r="A574">
            <v>565</v>
          </cell>
          <cell r="B574" t="str">
            <v>THHN - FLEX 10 AWG</v>
          </cell>
          <cell r="D574" t="str">
            <v>ml</v>
          </cell>
          <cell r="E574">
            <v>0.8</v>
          </cell>
          <cell r="G574">
            <v>0.8</v>
          </cell>
        </row>
        <row r="575">
          <cell r="A575">
            <v>566</v>
          </cell>
          <cell r="B575" t="str">
            <v>THHN - FLEX 8 AWG</v>
          </cell>
          <cell r="D575" t="str">
            <v>ml</v>
          </cell>
          <cell r="E575">
            <v>1.5</v>
          </cell>
          <cell r="G575">
            <v>1.5</v>
          </cell>
        </row>
        <row r="576">
          <cell r="A576">
            <v>567</v>
          </cell>
          <cell r="B576" t="str">
            <v>THHN - FLEX 6 AWG</v>
          </cell>
          <cell r="D576" t="str">
            <v>ml</v>
          </cell>
          <cell r="E576">
            <v>2.8</v>
          </cell>
          <cell r="G576">
            <v>2.8</v>
          </cell>
        </row>
        <row r="577">
          <cell r="A577">
            <v>568</v>
          </cell>
          <cell r="B577" t="str">
            <v>THHN - FLEX 4 AWG</v>
          </cell>
          <cell r="D577" t="str">
            <v>ml</v>
          </cell>
          <cell r="E577">
            <v>3.8</v>
          </cell>
          <cell r="G577">
            <v>3.8</v>
          </cell>
        </row>
        <row r="578">
          <cell r="A578">
            <v>569</v>
          </cell>
          <cell r="B578" t="str">
            <v>THHN - FLEX 2 AWG</v>
          </cell>
          <cell r="D578" t="str">
            <v>ml</v>
          </cell>
          <cell r="E578">
            <v>4.8</v>
          </cell>
          <cell r="G578">
            <v>4.8</v>
          </cell>
        </row>
        <row r="579">
          <cell r="A579">
            <v>570</v>
          </cell>
          <cell r="B579" t="str">
            <v>THHN - FLEX 1/0 AWG</v>
          </cell>
          <cell r="D579" t="str">
            <v>ml</v>
          </cell>
          <cell r="E579">
            <v>10.5</v>
          </cell>
          <cell r="G579">
            <v>10.5</v>
          </cell>
        </row>
        <row r="580">
          <cell r="A580">
            <v>571</v>
          </cell>
          <cell r="B580" t="str">
            <v>THHN - FLEX 2/0 AWG</v>
          </cell>
          <cell r="D580" t="str">
            <v>ml</v>
          </cell>
          <cell r="E580">
            <v>14</v>
          </cell>
          <cell r="G580">
            <v>14</v>
          </cell>
        </row>
        <row r="581">
          <cell r="A581">
            <v>572</v>
          </cell>
          <cell r="B581" t="str">
            <v>TPD 1</v>
          </cell>
          <cell r="D581" t="str">
            <v>u</v>
          </cell>
          <cell r="E581">
            <v>1650</v>
          </cell>
          <cell r="G581">
            <v>1650</v>
          </cell>
        </row>
        <row r="582">
          <cell r="A582">
            <v>573</v>
          </cell>
          <cell r="B582" t="str">
            <v>TPD 2</v>
          </cell>
          <cell r="D582" t="str">
            <v>u</v>
          </cell>
          <cell r="E582">
            <v>6175</v>
          </cell>
          <cell r="G582">
            <v>6175</v>
          </cell>
        </row>
        <row r="583">
          <cell r="A583">
            <v>574</v>
          </cell>
          <cell r="B583" t="str">
            <v>TTA</v>
          </cell>
          <cell r="D583" t="str">
            <v>u</v>
          </cell>
          <cell r="E583">
            <v>6685.6</v>
          </cell>
          <cell r="G583">
            <v>6685.6</v>
          </cell>
        </row>
        <row r="584">
          <cell r="A584">
            <v>575</v>
          </cell>
          <cell r="B584" t="str">
            <v>Unión EMT 1"</v>
          </cell>
          <cell r="D584" t="str">
            <v>u</v>
          </cell>
          <cell r="E584">
            <v>0.4</v>
          </cell>
          <cell r="G584">
            <v>0.4</v>
          </cell>
        </row>
        <row r="585">
          <cell r="A585">
            <v>576</v>
          </cell>
          <cell r="B585" t="str">
            <v>Central de incendios direccionable con 2 lazos</v>
          </cell>
          <cell r="D585" t="str">
            <v>u</v>
          </cell>
          <cell r="E585">
            <v>920</v>
          </cell>
          <cell r="G585">
            <v>920</v>
          </cell>
        </row>
        <row r="586">
          <cell r="A586">
            <v>577</v>
          </cell>
          <cell r="B586" t="str">
            <v>Conector Jack Cat 6A blindado</v>
          </cell>
          <cell r="D586" t="str">
            <v>u</v>
          </cell>
          <cell r="E586">
            <v>12</v>
          </cell>
          <cell r="G586">
            <v>12</v>
          </cell>
        </row>
        <row r="587">
          <cell r="A587">
            <v>578</v>
          </cell>
          <cell r="B587" t="str">
            <v>Parlante de 100 W 80 Ohmios</v>
          </cell>
          <cell r="D587" t="str">
            <v>u</v>
          </cell>
          <cell r="E587">
            <v>150</v>
          </cell>
          <cell r="G587">
            <v>150</v>
          </cell>
        </row>
        <row r="588">
          <cell r="A588">
            <v>579</v>
          </cell>
          <cell r="B588" t="str">
            <v>Consola de 4 entradas y 2 salidas mono-stereo</v>
          </cell>
          <cell r="D588" t="str">
            <v>u</v>
          </cell>
          <cell r="E588">
            <v>385</v>
          </cell>
          <cell r="G588">
            <v>385</v>
          </cell>
        </row>
        <row r="589">
          <cell r="A589">
            <v>580</v>
          </cell>
          <cell r="B589" t="str">
            <v>Cruceta de 1,5</v>
          </cell>
          <cell r="D589" t="str">
            <v>u</v>
          </cell>
          <cell r="E589">
            <v>28</v>
          </cell>
          <cell r="G589">
            <v>28</v>
          </cell>
        </row>
        <row r="590">
          <cell r="A590">
            <v>581</v>
          </cell>
          <cell r="B590" t="str">
            <v>Abrazadera de acero galvanizado, pletina simple (3 pernos)</v>
          </cell>
          <cell r="D590" t="str">
            <v>u</v>
          </cell>
          <cell r="E590">
            <v>8</v>
          </cell>
          <cell r="G590">
            <v>8</v>
          </cell>
        </row>
        <row r="591">
          <cell r="A591">
            <v>582</v>
          </cell>
          <cell r="B591" t="str">
            <v>Abrazadera en U varilla galv. 0,70m</v>
          </cell>
          <cell r="D591" t="str">
            <v>u</v>
          </cell>
          <cell r="E591">
            <v>4.5</v>
          </cell>
          <cell r="G591">
            <v>4.5</v>
          </cell>
        </row>
        <row r="592">
          <cell r="A592">
            <v>583</v>
          </cell>
          <cell r="B592" t="str">
            <v>Pie de amigo de platina 1,5x1/4''x90cm</v>
          </cell>
          <cell r="D592" t="str">
            <v>u</v>
          </cell>
          <cell r="E592">
            <v>12</v>
          </cell>
          <cell r="G592">
            <v>12</v>
          </cell>
        </row>
        <row r="593">
          <cell r="A593">
            <v>584</v>
          </cell>
          <cell r="B593" t="str">
            <v>Conductor TTU # 1/0 AWG</v>
          </cell>
          <cell r="D593" t="str">
            <v>ml</v>
          </cell>
          <cell r="E593">
            <v>11</v>
          </cell>
          <cell r="G593">
            <v>11</v>
          </cell>
        </row>
        <row r="594">
          <cell r="A594">
            <v>585</v>
          </cell>
          <cell r="B594" t="str">
            <v>Conductor TTU # 6 AWG</v>
          </cell>
          <cell r="D594" t="str">
            <v>ml</v>
          </cell>
          <cell r="E594">
            <v>3</v>
          </cell>
          <cell r="G594">
            <v>3</v>
          </cell>
        </row>
        <row r="595">
          <cell r="A595">
            <v>586</v>
          </cell>
          <cell r="B595" t="str">
            <v>Conductor TTU # 12 AWG</v>
          </cell>
          <cell r="D595" t="str">
            <v>ml</v>
          </cell>
          <cell r="E595">
            <v>0.6</v>
          </cell>
          <cell r="G595">
            <v>0.6</v>
          </cell>
        </row>
        <row r="596">
          <cell r="A596">
            <v>587</v>
          </cell>
          <cell r="B596" t="str">
            <v>Conductor TTU # 14 AWG</v>
          </cell>
          <cell r="D596" t="str">
            <v>ml</v>
          </cell>
          <cell r="E596">
            <v>0.4</v>
          </cell>
          <cell r="G596">
            <v>0.4</v>
          </cell>
        </row>
        <row r="597">
          <cell r="A597">
            <v>588</v>
          </cell>
          <cell r="B597" t="str">
            <v>Conductor TTU # 8 AWG</v>
          </cell>
          <cell r="D597" t="str">
            <v>ml</v>
          </cell>
          <cell r="E597">
            <v>1.75</v>
          </cell>
          <cell r="G597">
            <v>1.75</v>
          </cell>
        </row>
        <row r="598">
          <cell r="A598">
            <v>589</v>
          </cell>
          <cell r="B598" t="str">
            <v>Conductor TTU # 4 AWG</v>
          </cell>
          <cell r="D598" t="str">
            <v>ml</v>
          </cell>
          <cell r="E598">
            <v>4</v>
          </cell>
          <cell r="G598">
            <v>4</v>
          </cell>
        </row>
        <row r="599">
          <cell r="A599">
            <v>590</v>
          </cell>
          <cell r="B599" t="str">
            <v>Conductor TTU # 2 AWG</v>
          </cell>
          <cell r="D599" t="str">
            <v>ml</v>
          </cell>
          <cell r="E599">
            <v>5</v>
          </cell>
          <cell r="G599">
            <v>5</v>
          </cell>
        </row>
        <row r="600">
          <cell r="A600">
            <v>591</v>
          </cell>
          <cell r="G600">
            <v>0</v>
          </cell>
        </row>
        <row r="601">
          <cell r="G601">
            <v>0</v>
          </cell>
        </row>
        <row r="602">
          <cell r="G602">
            <v>0</v>
          </cell>
        </row>
        <row r="603">
          <cell r="G603">
            <v>0</v>
          </cell>
        </row>
        <row r="604">
          <cell r="G604">
            <v>0</v>
          </cell>
        </row>
        <row r="605">
          <cell r="G605">
            <v>0</v>
          </cell>
        </row>
        <row r="606">
          <cell r="G606">
            <v>0</v>
          </cell>
        </row>
        <row r="607">
          <cell r="G607">
            <v>0</v>
          </cell>
        </row>
        <row r="608">
          <cell r="G608">
            <v>0</v>
          </cell>
        </row>
        <row r="609">
          <cell r="G609">
            <v>0</v>
          </cell>
        </row>
        <row r="610">
          <cell r="G610">
            <v>0</v>
          </cell>
        </row>
        <row r="611">
          <cell r="G611">
            <v>0</v>
          </cell>
        </row>
        <row r="612">
          <cell r="G612">
            <v>0</v>
          </cell>
        </row>
        <row r="613">
          <cell r="G613">
            <v>0</v>
          </cell>
        </row>
        <row r="614">
          <cell r="G614">
            <v>0</v>
          </cell>
        </row>
        <row r="615">
          <cell r="G615">
            <v>0</v>
          </cell>
        </row>
        <row r="616">
          <cell r="G616">
            <v>0</v>
          </cell>
        </row>
        <row r="617">
          <cell r="G617">
            <v>0</v>
          </cell>
        </row>
        <row r="618">
          <cell r="G618">
            <v>0</v>
          </cell>
        </row>
        <row r="619">
          <cell r="G619">
            <v>0</v>
          </cell>
        </row>
        <row r="620">
          <cell r="G620">
            <v>0</v>
          </cell>
        </row>
        <row r="621">
          <cell r="G621">
            <v>0</v>
          </cell>
        </row>
        <row r="622">
          <cell r="G622">
            <v>0</v>
          </cell>
        </row>
        <row r="623">
          <cell r="G623">
            <v>0</v>
          </cell>
        </row>
        <row r="624">
          <cell r="G624">
            <v>0</v>
          </cell>
        </row>
        <row r="625">
          <cell r="G625">
            <v>0</v>
          </cell>
        </row>
        <row r="626">
          <cell r="G626">
            <v>0</v>
          </cell>
        </row>
        <row r="627">
          <cell r="G627">
            <v>0</v>
          </cell>
        </row>
        <row r="628">
          <cell r="G628">
            <v>0</v>
          </cell>
        </row>
        <row r="629">
          <cell r="G629">
            <v>0</v>
          </cell>
        </row>
        <row r="630">
          <cell r="G630">
            <v>0</v>
          </cell>
        </row>
        <row r="631">
          <cell r="G631">
            <v>0</v>
          </cell>
        </row>
        <row r="632">
          <cell r="G632">
            <v>0</v>
          </cell>
        </row>
        <row r="633">
          <cell r="G633">
            <v>0</v>
          </cell>
        </row>
        <row r="634">
          <cell r="G634">
            <v>0</v>
          </cell>
        </row>
        <row r="635">
          <cell r="G635">
            <v>0</v>
          </cell>
        </row>
        <row r="636">
          <cell r="G636">
            <v>0</v>
          </cell>
        </row>
        <row r="637">
          <cell r="G637">
            <v>0</v>
          </cell>
        </row>
        <row r="638">
          <cell r="G638">
            <v>0</v>
          </cell>
        </row>
        <row r="639">
          <cell r="G639">
            <v>0</v>
          </cell>
        </row>
        <row r="640">
          <cell r="G640">
            <v>0</v>
          </cell>
        </row>
        <row r="641">
          <cell r="G641">
            <v>0</v>
          </cell>
        </row>
        <row r="642">
          <cell r="G642">
            <v>0</v>
          </cell>
        </row>
        <row r="643">
          <cell r="G643">
            <v>0</v>
          </cell>
        </row>
        <row r="644">
          <cell r="G644">
            <v>0</v>
          </cell>
        </row>
        <row r="645">
          <cell r="G645">
            <v>0</v>
          </cell>
        </row>
        <row r="646">
          <cell r="G646">
            <v>0</v>
          </cell>
        </row>
        <row r="647">
          <cell r="G647">
            <v>0</v>
          </cell>
        </row>
        <row r="648">
          <cell r="G648">
            <v>0</v>
          </cell>
        </row>
        <row r="649">
          <cell r="G649">
            <v>0</v>
          </cell>
        </row>
        <row r="650">
          <cell r="G650">
            <v>0</v>
          </cell>
        </row>
        <row r="651">
          <cell r="G651">
            <v>0</v>
          </cell>
        </row>
        <row r="652">
          <cell r="G652">
            <v>0</v>
          </cell>
        </row>
        <row r="653">
          <cell r="G653">
            <v>0</v>
          </cell>
        </row>
        <row r="654">
          <cell r="G654">
            <v>0</v>
          </cell>
        </row>
        <row r="655">
          <cell r="G655">
            <v>0</v>
          </cell>
        </row>
        <row r="656">
          <cell r="G656">
            <v>0</v>
          </cell>
        </row>
        <row r="657">
          <cell r="G657">
            <v>0</v>
          </cell>
        </row>
        <row r="658">
          <cell r="G658">
            <v>0</v>
          </cell>
        </row>
        <row r="659">
          <cell r="G659">
            <v>0</v>
          </cell>
        </row>
        <row r="660">
          <cell r="G660">
            <v>0</v>
          </cell>
        </row>
        <row r="661">
          <cell r="G661">
            <v>0</v>
          </cell>
        </row>
        <row r="662">
          <cell r="G662">
            <v>0</v>
          </cell>
        </row>
        <row r="663">
          <cell r="G663">
            <v>0</v>
          </cell>
        </row>
        <row r="664">
          <cell r="G664">
            <v>0</v>
          </cell>
        </row>
        <row r="665">
          <cell r="G665">
            <v>0</v>
          </cell>
        </row>
        <row r="666">
          <cell r="G666">
            <v>0</v>
          </cell>
        </row>
        <row r="667">
          <cell r="G667">
            <v>0</v>
          </cell>
        </row>
        <row r="668">
          <cell r="G668">
            <v>0</v>
          </cell>
        </row>
        <row r="669">
          <cell r="G669">
            <v>0</v>
          </cell>
        </row>
        <row r="670">
          <cell r="G670">
            <v>0</v>
          </cell>
        </row>
        <row r="671">
          <cell r="G671">
            <v>0</v>
          </cell>
        </row>
        <row r="672">
          <cell r="G672">
            <v>0</v>
          </cell>
        </row>
        <row r="673">
          <cell r="G673">
            <v>0</v>
          </cell>
        </row>
        <row r="674">
          <cell r="G674">
            <v>0</v>
          </cell>
        </row>
        <row r="675">
          <cell r="G675">
            <v>0</v>
          </cell>
        </row>
        <row r="676">
          <cell r="G676">
            <v>0</v>
          </cell>
        </row>
        <row r="677">
          <cell r="G677">
            <v>0</v>
          </cell>
        </row>
        <row r="678">
          <cell r="G678">
            <v>0</v>
          </cell>
        </row>
        <row r="679">
          <cell r="G679">
            <v>0</v>
          </cell>
        </row>
        <row r="680">
          <cell r="G680">
            <v>0</v>
          </cell>
        </row>
        <row r="681">
          <cell r="G681">
            <v>0</v>
          </cell>
        </row>
        <row r="682">
          <cell r="G682">
            <v>0</v>
          </cell>
        </row>
        <row r="683">
          <cell r="G683">
            <v>0</v>
          </cell>
        </row>
        <row r="684">
          <cell r="G684">
            <v>0</v>
          </cell>
        </row>
        <row r="685">
          <cell r="G685">
            <v>0</v>
          </cell>
        </row>
        <row r="686">
          <cell r="G686">
            <v>0</v>
          </cell>
        </row>
        <row r="687">
          <cell r="G687">
            <v>0</v>
          </cell>
        </row>
        <row r="688">
          <cell r="G688">
            <v>0</v>
          </cell>
        </row>
        <row r="689">
          <cell r="G689">
            <v>0</v>
          </cell>
        </row>
        <row r="690">
          <cell r="G690">
            <v>0</v>
          </cell>
        </row>
        <row r="691">
          <cell r="G691">
            <v>0</v>
          </cell>
        </row>
        <row r="692">
          <cell r="G692">
            <v>0</v>
          </cell>
        </row>
        <row r="693">
          <cell r="G693">
            <v>0</v>
          </cell>
        </row>
        <row r="694">
          <cell r="G694">
            <v>0</v>
          </cell>
        </row>
        <row r="695">
          <cell r="G695">
            <v>0</v>
          </cell>
        </row>
        <row r="696">
          <cell r="G696">
            <v>0</v>
          </cell>
        </row>
        <row r="697">
          <cell r="G697">
            <v>0</v>
          </cell>
        </row>
        <row r="698">
          <cell r="G698">
            <v>0</v>
          </cell>
        </row>
        <row r="699">
          <cell r="G699">
            <v>0</v>
          </cell>
        </row>
        <row r="700">
          <cell r="G700">
            <v>0</v>
          </cell>
        </row>
        <row r="701">
          <cell r="G701">
            <v>0</v>
          </cell>
        </row>
        <row r="702">
          <cell r="G702">
            <v>0</v>
          </cell>
        </row>
        <row r="703">
          <cell r="G703">
            <v>0</v>
          </cell>
        </row>
        <row r="704">
          <cell r="G704">
            <v>0</v>
          </cell>
        </row>
        <row r="705">
          <cell r="G705">
            <v>0</v>
          </cell>
        </row>
        <row r="706">
          <cell r="G706">
            <v>0</v>
          </cell>
        </row>
        <row r="707">
          <cell r="G707">
            <v>0</v>
          </cell>
        </row>
        <row r="708">
          <cell r="G708">
            <v>0</v>
          </cell>
        </row>
        <row r="709">
          <cell r="G709">
            <v>0</v>
          </cell>
        </row>
        <row r="710">
          <cell r="G710">
            <v>0</v>
          </cell>
        </row>
        <row r="711">
          <cell r="G711">
            <v>0</v>
          </cell>
        </row>
        <row r="712">
          <cell r="G712">
            <v>0</v>
          </cell>
        </row>
        <row r="713">
          <cell r="G713">
            <v>0</v>
          </cell>
        </row>
        <row r="714">
          <cell r="G714">
            <v>0</v>
          </cell>
        </row>
        <row r="715">
          <cell r="G715">
            <v>0</v>
          </cell>
        </row>
        <row r="716">
          <cell r="G716">
            <v>0</v>
          </cell>
        </row>
        <row r="717">
          <cell r="G717">
            <v>0</v>
          </cell>
        </row>
        <row r="718">
          <cell r="G718">
            <v>0</v>
          </cell>
        </row>
        <row r="719">
          <cell r="G719">
            <v>0</v>
          </cell>
        </row>
        <row r="720">
          <cell r="G720">
            <v>0</v>
          </cell>
        </row>
        <row r="721">
          <cell r="G721">
            <v>0</v>
          </cell>
        </row>
        <row r="722">
          <cell r="G722">
            <v>0</v>
          </cell>
        </row>
        <row r="723">
          <cell r="G723">
            <v>0</v>
          </cell>
        </row>
        <row r="724">
          <cell r="G724">
            <v>0</v>
          </cell>
        </row>
        <row r="725">
          <cell r="G725">
            <v>0</v>
          </cell>
        </row>
        <row r="726">
          <cell r="G726">
            <v>0</v>
          </cell>
        </row>
        <row r="727">
          <cell r="G727">
            <v>0</v>
          </cell>
        </row>
        <row r="728">
          <cell r="G728">
            <v>0</v>
          </cell>
        </row>
        <row r="729">
          <cell r="G729">
            <v>0</v>
          </cell>
        </row>
        <row r="730">
          <cell r="G730">
            <v>0</v>
          </cell>
        </row>
        <row r="731">
          <cell r="G731">
            <v>0</v>
          </cell>
        </row>
        <row r="732">
          <cell r="G732">
            <v>0</v>
          </cell>
        </row>
        <row r="733">
          <cell r="G733">
            <v>0</v>
          </cell>
        </row>
        <row r="734">
          <cell r="G734">
            <v>0</v>
          </cell>
        </row>
        <row r="735">
          <cell r="G735">
            <v>0</v>
          </cell>
        </row>
        <row r="736">
          <cell r="G736">
            <v>0</v>
          </cell>
        </row>
        <row r="737">
          <cell r="G737">
            <v>0</v>
          </cell>
        </row>
        <row r="738">
          <cell r="G738">
            <v>0</v>
          </cell>
        </row>
        <row r="739">
          <cell r="G739">
            <v>0</v>
          </cell>
        </row>
        <row r="740">
          <cell r="G740">
            <v>0</v>
          </cell>
        </row>
        <row r="741">
          <cell r="G741">
            <v>0</v>
          </cell>
        </row>
        <row r="742">
          <cell r="G742">
            <v>0</v>
          </cell>
        </row>
        <row r="743">
          <cell r="G743">
            <v>0</v>
          </cell>
        </row>
        <row r="744">
          <cell r="G744">
            <v>0</v>
          </cell>
        </row>
        <row r="745">
          <cell r="G745">
            <v>0</v>
          </cell>
        </row>
        <row r="746">
          <cell r="G746">
            <v>0</v>
          </cell>
        </row>
        <row r="747">
          <cell r="G747">
            <v>0</v>
          </cell>
        </row>
        <row r="748">
          <cell r="G748">
            <v>0</v>
          </cell>
        </row>
        <row r="749">
          <cell r="G749">
            <v>0</v>
          </cell>
        </row>
        <row r="750">
          <cell r="G750">
            <v>0</v>
          </cell>
        </row>
        <row r="751">
          <cell r="G751">
            <v>0</v>
          </cell>
        </row>
        <row r="752">
          <cell r="G752">
            <v>0</v>
          </cell>
        </row>
        <row r="753">
          <cell r="G753">
            <v>0</v>
          </cell>
        </row>
        <row r="754">
          <cell r="G754">
            <v>0</v>
          </cell>
        </row>
        <row r="755">
          <cell r="G755">
            <v>0</v>
          </cell>
        </row>
        <row r="756">
          <cell r="G756">
            <v>0</v>
          </cell>
        </row>
        <row r="757">
          <cell r="G757">
            <v>0</v>
          </cell>
        </row>
        <row r="758">
          <cell r="G758">
            <v>0</v>
          </cell>
        </row>
        <row r="759">
          <cell r="G759">
            <v>0</v>
          </cell>
        </row>
        <row r="760">
          <cell r="G760">
            <v>0</v>
          </cell>
        </row>
        <row r="761">
          <cell r="G761">
            <v>0</v>
          </cell>
        </row>
        <row r="762">
          <cell r="G762">
            <v>0</v>
          </cell>
        </row>
        <row r="763">
          <cell r="G763">
            <v>0</v>
          </cell>
        </row>
        <row r="764">
          <cell r="G764">
            <v>0</v>
          </cell>
        </row>
        <row r="765">
          <cell r="G765">
            <v>0</v>
          </cell>
        </row>
        <row r="766">
          <cell r="G766">
            <v>0</v>
          </cell>
        </row>
        <row r="767">
          <cell r="G767">
            <v>0</v>
          </cell>
        </row>
        <row r="768">
          <cell r="G768">
            <v>0</v>
          </cell>
        </row>
        <row r="769">
          <cell r="G769">
            <v>0</v>
          </cell>
        </row>
        <row r="770">
          <cell r="G770">
            <v>0</v>
          </cell>
        </row>
        <row r="771">
          <cell r="G771">
            <v>0</v>
          </cell>
        </row>
        <row r="772">
          <cell r="G772">
            <v>0</v>
          </cell>
        </row>
        <row r="773">
          <cell r="G773">
            <v>0</v>
          </cell>
        </row>
        <row r="774">
          <cell r="G774">
            <v>0</v>
          </cell>
        </row>
        <row r="775">
          <cell r="G775">
            <v>0</v>
          </cell>
        </row>
        <row r="776">
          <cell r="G776">
            <v>0</v>
          </cell>
        </row>
        <row r="777">
          <cell r="G777">
            <v>0</v>
          </cell>
        </row>
        <row r="778">
          <cell r="G778">
            <v>0</v>
          </cell>
        </row>
        <row r="779">
          <cell r="G779">
            <v>0</v>
          </cell>
        </row>
        <row r="780">
          <cell r="G780">
            <v>0</v>
          </cell>
        </row>
        <row r="781">
          <cell r="G781">
            <v>0</v>
          </cell>
        </row>
        <row r="782">
          <cell r="G782">
            <v>0</v>
          </cell>
        </row>
        <row r="783">
          <cell r="G783">
            <v>0</v>
          </cell>
        </row>
        <row r="784">
          <cell r="G784">
            <v>0</v>
          </cell>
        </row>
        <row r="785">
          <cell r="G785">
            <v>0</v>
          </cell>
        </row>
        <row r="786">
          <cell r="G786">
            <v>0</v>
          </cell>
        </row>
        <row r="787">
          <cell r="G787">
            <v>0</v>
          </cell>
        </row>
        <row r="788">
          <cell r="G788">
            <v>0</v>
          </cell>
        </row>
        <row r="789">
          <cell r="G789">
            <v>0</v>
          </cell>
        </row>
        <row r="790">
          <cell r="G790">
            <v>0</v>
          </cell>
        </row>
        <row r="791">
          <cell r="G791">
            <v>0</v>
          </cell>
        </row>
        <row r="792">
          <cell r="G792">
            <v>0</v>
          </cell>
        </row>
        <row r="793">
          <cell r="G793">
            <v>0</v>
          </cell>
        </row>
        <row r="794">
          <cell r="G794">
            <v>0</v>
          </cell>
        </row>
        <row r="795">
          <cell r="G795">
            <v>0</v>
          </cell>
        </row>
        <row r="796">
          <cell r="G796">
            <v>0</v>
          </cell>
        </row>
        <row r="797">
          <cell r="G797">
            <v>0</v>
          </cell>
        </row>
        <row r="798">
          <cell r="G798">
            <v>0</v>
          </cell>
        </row>
        <row r="799">
          <cell r="G799">
            <v>0</v>
          </cell>
        </row>
        <row r="800">
          <cell r="G800">
            <v>0</v>
          </cell>
        </row>
        <row r="801">
          <cell r="G801">
            <v>0</v>
          </cell>
        </row>
        <row r="802">
          <cell r="G802">
            <v>0</v>
          </cell>
        </row>
        <row r="803">
          <cell r="G803">
            <v>0</v>
          </cell>
        </row>
        <row r="804">
          <cell r="G804">
            <v>0</v>
          </cell>
        </row>
        <row r="982">
          <cell r="A982">
            <v>973</v>
          </cell>
          <cell r="B982" t="str">
            <v>Yee HF; L-L; D=500 mm.</v>
          </cell>
          <cell r="D982" t="str">
            <v>u</v>
          </cell>
          <cell r="E982">
            <v>5066.8</v>
          </cell>
          <cell r="G982">
            <v>5066.8</v>
          </cell>
        </row>
        <row r="983">
          <cell r="A983">
            <v>974</v>
          </cell>
          <cell r="B983" t="str">
            <v>Yee 350mm</v>
          </cell>
          <cell r="D983" t="str">
            <v>u</v>
          </cell>
          <cell r="E983">
            <v>1650.76</v>
          </cell>
          <cell r="G983">
            <v>1650.76</v>
          </cell>
        </row>
        <row r="984">
          <cell r="A984">
            <v>975</v>
          </cell>
          <cell r="B984" t="str">
            <v>Yee 400mm</v>
          </cell>
          <cell r="D984" t="str">
            <v>u</v>
          </cell>
          <cell r="E984">
            <v>617.01</v>
          </cell>
          <cell r="G984">
            <v>617.01</v>
          </cell>
        </row>
        <row r="985">
          <cell r="A985">
            <v>976</v>
          </cell>
          <cell r="B985" t="str">
            <v>yeso</v>
          </cell>
          <cell r="D985" t="str">
            <v>kg</v>
          </cell>
          <cell r="E985">
            <v>12.79</v>
          </cell>
          <cell r="G985">
            <v>12.79</v>
          </cell>
        </row>
        <row r="986">
          <cell r="A986">
            <v>977</v>
          </cell>
          <cell r="B986" t="str">
            <v>Impermeabilizante</v>
          </cell>
          <cell r="D986" t="str">
            <v>m2</v>
          </cell>
          <cell r="E986">
            <v>6</v>
          </cell>
          <cell r="G986">
            <v>6</v>
          </cell>
        </row>
        <row r="987">
          <cell r="A987">
            <v>978</v>
          </cell>
          <cell r="B987" t="str">
            <v>Instalación de campamento</v>
          </cell>
          <cell r="D987" t="str">
            <v>global</v>
          </cell>
          <cell r="E987">
            <v>1120</v>
          </cell>
          <cell r="G987">
            <v>1120</v>
          </cell>
        </row>
        <row r="988">
          <cell r="A988">
            <v>979</v>
          </cell>
          <cell r="B988" t="str">
            <v>Masilla</v>
          </cell>
          <cell r="D988" t="str">
            <v>m2</v>
          </cell>
          <cell r="E988">
            <v>1.2</v>
          </cell>
        </row>
        <row r="989">
          <cell r="A989">
            <v>980</v>
          </cell>
          <cell r="B989" t="str">
            <v>Material para modulares MDF/Aluminio</v>
          </cell>
          <cell r="D989" t="str">
            <v>global</v>
          </cell>
          <cell r="E989">
            <v>52</v>
          </cell>
        </row>
        <row r="990">
          <cell r="A990">
            <v>981</v>
          </cell>
          <cell r="B990" t="str">
            <v>Varios (Pintura, estaca, clavos, otros)</v>
          </cell>
          <cell r="D990" t="str">
            <v>global</v>
          </cell>
          <cell r="E990">
            <v>0.6</v>
          </cell>
        </row>
        <row r="991">
          <cell r="A991">
            <v>982</v>
          </cell>
          <cell r="B991" t="str">
            <v>Puerta de aluminio y vidrio</v>
          </cell>
          <cell r="D991" t="str">
            <v>u</v>
          </cell>
          <cell r="E991">
            <v>80</v>
          </cell>
        </row>
        <row r="992">
          <cell r="A992">
            <v>983</v>
          </cell>
          <cell r="B992" t="str">
            <v>Puerta de madera 0.90 m</v>
          </cell>
          <cell r="D992" t="str">
            <v>u</v>
          </cell>
          <cell r="E992">
            <v>70</v>
          </cell>
        </row>
        <row r="993">
          <cell r="A993">
            <v>984</v>
          </cell>
          <cell r="B993" t="str">
            <v>Puerta de madera 1.00 m</v>
          </cell>
          <cell r="D993" t="str">
            <v>u</v>
          </cell>
          <cell r="E993">
            <v>80</v>
          </cell>
        </row>
        <row r="994">
          <cell r="A994">
            <v>985</v>
          </cell>
          <cell r="B994" t="str">
            <v>Puerta y rejas de hierro</v>
          </cell>
          <cell r="D994" t="str">
            <v>m2</v>
          </cell>
          <cell r="E994">
            <v>32</v>
          </cell>
        </row>
        <row r="995">
          <cell r="A995">
            <v>986</v>
          </cell>
          <cell r="B995" t="str">
            <v>Varios (Porcelana y otros)</v>
          </cell>
          <cell r="D995" t="str">
            <v>global</v>
          </cell>
          <cell r="E995">
            <v>4</v>
          </cell>
        </row>
        <row r="996">
          <cell r="A996">
            <v>987</v>
          </cell>
          <cell r="B996" t="str">
            <v>Ceramica de pared</v>
          </cell>
          <cell r="D996" t="str">
            <v>m2</v>
          </cell>
          <cell r="E996">
            <v>9</v>
          </cell>
        </row>
        <row r="997">
          <cell r="A997">
            <v>988</v>
          </cell>
          <cell r="B997" t="str">
            <v>Granito</v>
          </cell>
          <cell r="D997" t="str">
            <v>m2</v>
          </cell>
          <cell r="E997">
            <v>3</v>
          </cell>
        </row>
        <row r="998">
          <cell r="A998">
            <v>989</v>
          </cell>
          <cell r="B998" t="str">
            <v>Señales de seguridad</v>
          </cell>
          <cell r="D998" t="str">
            <v>u</v>
          </cell>
          <cell r="E998">
            <v>55</v>
          </cell>
        </row>
        <row r="999">
          <cell r="A999">
            <v>990</v>
          </cell>
          <cell r="B999" t="str">
            <v>Tapas sanitarias</v>
          </cell>
          <cell r="D999" t="str">
            <v>u</v>
          </cell>
          <cell r="E999">
            <v>142</v>
          </cell>
        </row>
        <row r="1000">
          <cell r="A1000">
            <v>991</v>
          </cell>
          <cell r="B1000" t="str">
            <v>Pasamanos de acero inoxidable</v>
          </cell>
          <cell r="D1000" t="str">
            <v>ml</v>
          </cell>
          <cell r="E1000">
            <v>43</v>
          </cell>
        </row>
        <row r="1001">
          <cell r="A1001">
            <v>992</v>
          </cell>
          <cell r="B1001" t="str">
            <v>Chapa</v>
          </cell>
          <cell r="D1001" t="str">
            <v>u</v>
          </cell>
          <cell r="E1001">
            <v>22</v>
          </cell>
        </row>
        <row r="1002">
          <cell r="A1002">
            <v>993</v>
          </cell>
          <cell r="B1002" t="str">
            <v>Chapa</v>
          </cell>
          <cell r="D1002" t="str">
            <v>u</v>
          </cell>
          <cell r="E1002">
            <v>18</v>
          </cell>
        </row>
        <row r="1003">
          <cell r="A1003">
            <v>994</v>
          </cell>
        </row>
      </sheetData>
      <sheetData sheetId="11" refreshError="1">
        <row r="3">
          <cell r="B3">
            <v>1</v>
          </cell>
          <cell r="C3" t="str">
            <v>Est. Ocup. E1 (cons.)</v>
          </cell>
          <cell r="D3">
            <v>2.56</v>
          </cell>
        </row>
        <row r="4">
          <cell r="B4">
            <v>2</v>
          </cell>
          <cell r="C4" t="str">
            <v>Est. Ocup. E2 (Cat I y II)</v>
          </cell>
          <cell r="D4">
            <v>2.78</v>
          </cell>
        </row>
        <row r="5">
          <cell r="B5">
            <v>3</v>
          </cell>
          <cell r="C5" t="str">
            <v>Est. Ocup. D2 (Cat III y IV)</v>
          </cell>
          <cell r="D5">
            <v>2.82</v>
          </cell>
        </row>
        <row r="6">
          <cell r="B6">
            <v>4</v>
          </cell>
          <cell r="C6" t="str">
            <v>Est. Ocup. C1 (Maestro Mayor)</v>
          </cell>
          <cell r="D6">
            <v>3.02</v>
          </cell>
        </row>
        <row r="7">
          <cell r="B7">
            <v>5</v>
          </cell>
          <cell r="C7" t="str">
            <v>Est. Ocup. C2 (Técnico Obras civiles)</v>
          </cell>
          <cell r="D7">
            <v>2.94</v>
          </cell>
        </row>
        <row r="8">
          <cell r="B8">
            <v>6</v>
          </cell>
          <cell r="C8" t="str">
            <v>Est. Ocup. B3 (Inspector obra)</v>
          </cell>
          <cell r="D8">
            <v>3.03</v>
          </cell>
        </row>
        <row r="9">
          <cell r="B9">
            <v>7</v>
          </cell>
          <cell r="C9" t="str">
            <v>Est. Ocup. B1 (Residente Obra)</v>
          </cell>
          <cell r="D9">
            <v>3.06</v>
          </cell>
        </row>
        <row r="10">
          <cell r="B10">
            <v>8</v>
          </cell>
          <cell r="C10" t="str">
            <v>Ayu. Lab.</v>
          </cell>
          <cell r="D10">
            <v>2.73</v>
          </cell>
        </row>
        <row r="11">
          <cell r="B11">
            <v>9</v>
          </cell>
          <cell r="C11" t="str">
            <v>Lab. 1</v>
          </cell>
          <cell r="D11">
            <v>2.73</v>
          </cell>
        </row>
        <row r="12">
          <cell r="B12">
            <v>10</v>
          </cell>
          <cell r="C12" t="str">
            <v>Lab. 2</v>
          </cell>
          <cell r="D12">
            <v>3.02</v>
          </cell>
        </row>
        <row r="13">
          <cell r="B13">
            <v>11</v>
          </cell>
          <cell r="C13" t="str">
            <v>Top. Pract.</v>
          </cell>
          <cell r="D13">
            <v>2.57</v>
          </cell>
        </row>
        <row r="14">
          <cell r="B14">
            <v>12</v>
          </cell>
          <cell r="C14" t="str">
            <v>Top. 1</v>
          </cell>
          <cell r="D14">
            <v>2.57</v>
          </cell>
        </row>
        <row r="15">
          <cell r="B15">
            <v>13</v>
          </cell>
          <cell r="C15" t="str">
            <v>Top. 2</v>
          </cell>
          <cell r="D15">
            <v>3.02</v>
          </cell>
        </row>
        <row r="16">
          <cell r="B16">
            <v>14</v>
          </cell>
          <cell r="C16" t="str">
            <v>Dib. 1</v>
          </cell>
          <cell r="D16">
            <v>2.57</v>
          </cell>
        </row>
        <row r="17">
          <cell r="B17">
            <v>15</v>
          </cell>
          <cell r="C17" t="str">
            <v>Dibujante C2</v>
          </cell>
          <cell r="D17">
            <v>2.94</v>
          </cell>
        </row>
        <row r="18">
          <cell r="B18">
            <v>16</v>
          </cell>
          <cell r="C18" t="str">
            <v>Est. Ocup. C1 (OEP 1)</v>
          </cell>
          <cell r="D18">
            <v>3.02</v>
          </cell>
        </row>
        <row r="19">
          <cell r="B19">
            <v>17</v>
          </cell>
          <cell r="C19" t="str">
            <v>Est. Ocup. C2 (OEP 2)</v>
          </cell>
          <cell r="D19">
            <v>2.94</v>
          </cell>
        </row>
        <row r="20">
          <cell r="B20">
            <v>18</v>
          </cell>
          <cell r="C20" t="str">
            <v>Mec.</v>
          </cell>
          <cell r="D20">
            <v>3.02</v>
          </cell>
        </row>
        <row r="21">
          <cell r="B21">
            <v>19</v>
          </cell>
          <cell r="C21" t="str">
            <v>Sin. Tit.</v>
          </cell>
          <cell r="D21">
            <v>2.82</v>
          </cell>
        </row>
        <row r="22">
          <cell r="B22">
            <v>20</v>
          </cell>
          <cell r="C22" t="str">
            <v>Chofer C1</v>
          </cell>
          <cell r="D22">
            <v>4.16</v>
          </cell>
        </row>
        <row r="23">
          <cell r="B23">
            <v>21</v>
          </cell>
        </row>
        <row r="24">
          <cell r="B24">
            <v>22</v>
          </cell>
        </row>
        <row r="25">
          <cell r="B25">
            <v>23</v>
          </cell>
        </row>
        <row r="26">
          <cell r="B26">
            <v>24</v>
          </cell>
        </row>
        <row r="27">
          <cell r="B27">
            <v>25</v>
          </cell>
        </row>
        <row r="28">
          <cell r="B28">
            <v>26</v>
          </cell>
        </row>
        <row r="29">
          <cell r="B29">
            <v>27</v>
          </cell>
        </row>
        <row r="30">
          <cell r="B30">
            <v>28</v>
          </cell>
        </row>
        <row r="31">
          <cell r="B31">
            <v>29</v>
          </cell>
        </row>
        <row r="32">
          <cell r="B32">
            <v>30</v>
          </cell>
        </row>
      </sheetData>
      <sheetData sheetId="12" refreshError="1">
        <row r="8">
          <cell r="A8">
            <v>1</v>
          </cell>
          <cell r="B8" t="str">
            <v>Ripio</v>
          </cell>
          <cell r="C8" t="str">
            <v>m3/km</v>
          </cell>
          <cell r="D8">
            <v>35</v>
          </cell>
          <cell r="E8">
            <v>0.25</v>
          </cell>
        </row>
        <row r="9">
          <cell r="A9">
            <v>2</v>
          </cell>
          <cell r="B9" t="str">
            <v>Arena</v>
          </cell>
          <cell r="C9" t="str">
            <v>m3/km</v>
          </cell>
          <cell r="D9">
            <v>35</v>
          </cell>
          <cell r="E9">
            <v>0.25</v>
          </cell>
        </row>
        <row r="10">
          <cell r="A10">
            <v>3</v>
          </cell>
          <cell r="B10" t="str">
            <v>Grava</v>
          </cell>
          <cell r="C10" t="str">
            <v>m3/km</v>
          </cell>
          <cell r="D10">
            <v>35</v>
          </cell>
          <cell r="E10">
            <v>0.25</v>
          </cell>
        </row>
        <row r="11">
          <cell r="A11">
            <v>4</v>
          </cell>
          <cell r="B11" t="str">
            <v>Piedra Bola</v>
          </cell>
          <cell r="C11" t="str">
            <v>m3/km</v>
          </cell>
          <cell r="D11">
            <v>35</v>
          </cell>
          <cell r="E11">
            <v>0.25</v>
          </cell>
        </row>
        <row r="12">
          <cell r="A12">
            <v>5</v>
          </cell>
          <cell r="B12" t="str">
            <v>Mezcla asfaltica</v>
          </cell>
          <cell r="C12" t="str">
            <v>m3/km</v>
          </cell>
          <cell r="D12">
            <v>35</v>
          </cell>
          <cell r="E12">
            <v>0.25</v>
          </cell>
        </row>
        <row r="13">
          <cell r="A13">
            <v>6</v>
          </cell>
          <cell r="B13" t="str">
            <v>Agregado fino</v>
          </cell>
          <cell r="C13" t="str">
            <v>m3/km</v>
          </cell>
          <cell r="D13">
            <v>35</v>
          </cell>
          <cell r="E13">
            <v>0.25</v>
          </cell>
        </row>
        <row r="14">
          <cell r="A14">
            <v>7</v>
          </cell>
          <cell r="B14" t="str">
            <v>Material de Mejoramiento</v>
          </cell>
          <cell r="C14" t="str">
            <v>m3/km</v>
          </cell>
          <cell r="D14">
            <v>35</v>
          </cell>
          <cell r="E14">
            <v>0.25</v>
          </cell>
        </row>
        <row r="15">
          <cell r="A15">
            <v>8</v>
          </cell>
          <cell r="B15" t="str">
            <v>Material filtrante</v>
          </cell>
          <cell r="C15" t="str">
            <v>m3/km</v>
          </cell>
          <cell r="D15">
            <v>35</v>
          </cell>
          <cell r="E15">
            <v>0.25</v>
          </cell>
        </row>
        <row r="16">
          <cell r="A16">
            <v>9</v>
          </cell>
          <cell r="B16" t="str">
            <v>Lastre de río</v>
          </cell>
          <cell r="C16" t="str">
            <v>m3/km</v>
          </cell>
          <cell r="D16">
            <v>35</v>
          </cell>
          <cell r="E16">
            <v>0.25</v>
          </cell>
        </row>
        <row r="17">
          <cell r="A17">
            <v>10</v>
          </cell>
          <cell r="B17" t="str">
            <v>Arena de banco</v>
          </cell>
          <cell r="C17" t="str">
            <v>m3/km</v>
          </cell>
          <cell r="D17">
            <v>35</v>
          </cell>
          <cell r="E17">
            <v>0.25</v>
          </cell>
        </row>
        <row r="18">
          <cell r="A18">
            <v>11</v>
          </cell>
          <cell r="B18" t="str">
            <v>Material de préstamo</v>
          </cell>
          <cell r="C18" t="str">
            <v>m3/km</v>
          </cell>
          <cell r="D18">
            <v>10</v>
          </cell>
          <cell r="E18">
            <v>0.25</v>
          </cell>
        </row>
        <row r="19">
          <cell r="A19">
            <v>12</v>
          </cell>
          <cell r="B19" t="str">
            <v>Sub base</v>
          </cell>
          <cell r="C19" t="str">
            <v>m3/km</v>
          </cell>
          <cell r="D19">
            <v>35</v>
          </cell>
          <cell r="E19">
            <v>0.25</v>
          </cell>
        </row>
        <row r="20">
          <cell r="A20">
            <v>13</v>
          </cell>
        </row>
        <row r="21">
          <cell r="A21">
            <v>14</v>
          </cell>
        </row>
        <row r="22">
          <cell r="A22">
            <v>15</v>
          </cell>
        </row>
        <row r="23">
          <cell r="A23">
            <v>16</v>
          </cell>
        </row>
        <row r="24">
          <cell r="A24">
            <v>17</v>
          </cell>
        </row>
        <row r="25">
          <cell r="A25">
            <v>18</v>
          </cell>
        </row>
        <row r="26">
          <cell r="A26">
            <v>19</v>
          </cell>
        </row>
        <row r="27">
          <cell r="A27">
            <v>20</v>
          </cell>
        </row>
        <row r="28">
          <cell r="A28">
            <v>21</v>
          </cell>
        </row>
        <row r="29">
          <cell r="A29">
            <v>22</v>
          </cell>
        </row>
        <row r="30">
          <cell r="A30">
            <v>23</v>
          </cell>
        </row>
        <row r="31">
          <cell r="A31">
            <v>24</v>
          </cell>
        </row>
        <row r="32">
          <cell r="A32">
            <v>25</v>
          </cell>
        </row>
        <row r="33">
          <cell r="A33">
            <v>26</v>
          </cell>
        </row>
        <row r="34">
          <cell r="A34">
            <v>27</v>
          </cell>
        </row>
        <row r="35">
          <cell r="A35">
            <v>28</v>
          </cell>
        </row>
        <row r="36">
          <cell r="A36">
            <v>29</v>
          </cell>
        </row>
        <row r="37">
          <cell r="A37">
            <v>30</v>
          </cell>
        </row>
      </sheetData>
      <sheetData sheetId="13" refreshError="1"/>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790B3-B3F4-409E-883C-BF8E0B074F96}">
  <dimension ref="A1:CV87"/>
  <sheetViews>
    <sheetView tabSelected="1" topLeftCell="B1" zoomScale="90" zoomScaleNormal="90" workbookViewId="0">
      <pane xSplit="1" topLeftCell="C1" activePane="topRight" state="frozen"/>
      <selection activeCell="B1" sqref="B1"/>
      <selection pane="topRight" activeCell="J5" sqref="J5:J8"/>
    </sheetView>
  </sheetViews>
  <sheetFormatPr baseColWidth="10" defaultRowHeight="15" x14ac:dyDescent="0.25"/>
  <cols>
    <col min="1" max="1" width="2.140625" hidden="1" customWidth="1"/>
    <col min="6" max="6" width="11.28515625" bestFit="1" customWidth="1"/>
    <col min="7" max="7" width="11.42578125" bestFit="1" customWidth="1"/>
    <col min="8" max="8" width="9.7109375" customWidth="1"/>
    <col min="9" max="10" width="8.7109375" customWidth="1"/>
    <col min="19" max="19" width="8.7109375" bestFit="1" customWidth="1"/>
    <col min="20" max="20" width="11.140625" bestFit="1" customWidth="1"/>
    <col min="21" max="21" width="10.42578125" bestFit="1" customWidth="1"/>
    <col min="23" max="23" width="10" bestFit="1" customWidth="1"/>
    <col min="24" max="24" width="12.28515625" customWidth="1"/>
    <col min="25" max="56" width="15.140625" customWidth="1"/>
    <col min="57" max="57" width="13.7109375" customWidth="1"/>
    <col min="58" max="66" width="15.140625" customWidth="1"/>
    <col min="67" max="67" width="13.85546875" bestFit="1" customWidth="1"/>
    <col min="68" max="70" width="13.85546875" customWidth="1"/>
    <col min="71" max="71" width="14.5703125" bestFit="1" customWidth="1"/>
    <col min="72" max="74" width="14.5703125" customWidth="1"/>
    <col min="75" max="75" width="14.140625" bestFit="1" customWidth="1"/>
    <col min="76" max="78" width="14.140625" customWidth="1"/>
    <col min="79" max="79" width="14.7109375" bestFit="1" customWidth="1"/>
    <col min="80" max="82" width="14.7109375" customWidth="1"/>
    <col min="83" max="97" width="15.140625" customWidth="1"/>
    <col min="98" max="99" width="14.28515625" customWidth="1"/>
    <col min="100" max="100" width="28.42578125" customWidth="1"/>
  </cols>
  <sheetData>
    <row r="1" spans="1:100" x14ac:dyDescent="0.25">
      <c r="B1" s="336" t="s">
        <v>259</v>
      </c>
      <c r="C1" s="336"/>
      <c r="D1" s="336"/>
      <c r="E1" s="336"/>
      <c r="F1" s="336"/>
      <c r="G1" s="336"/>
      <c r="H1" s="336"/>
      <c r="I1" s="336"/>
      <c r="J1" s="336"/>
      <c r="K1" s="336"/>
      <c r="L1" s="336"/>
      <c r="M1" s="336"/>
      <c r="N1" s="336"/>
      <c r="O1" s="336"/>
      <c r="P1" s="336"/>
      <c r="Q1" s="336"/>
      <c r="R1" s="336"/>
      <c r="S1" s="336"/>
      <c r="T1" s="336"/>
      <c r="U1" s="336"/>
      <c r="V1" s="336"/>
      <c r="W1" s="336"/>
      <c r="X1" s="336"/>
      <c r="Y1" s="336"/>
      <c r="Z1" s="336"/>
      <c r="AA1" s="336"/>
      <c r="AB1" s="336"/>
      <c r="AC1" s="336"/>
      <c r="AD1" s="336"/>
      <c r="AE1" s="336"/>
      <c r="AF1" s="336"/>
      <c r="AG1" s="336"/>
      <c r="AH1" s="336"/>
      <c r="AI1" s="336"/>
      <c r="AJ1" s="336"/>
      <c r="AK1" s="336"/>
      <c r="AL1" s="336"/>
      <c r="AM1" s="336"/>
      <c r="AN1" s="336"/>
      <c r="AO1" s="336"/>
      <c r="AP1" s="336"/>
      <c r="AQ1" s="336"/>
      <c r="AR1" s="336"/>
      <c r="AS1" s="336"/>
      <c r="AT1" s="336"/>
      <c r="AU1" s="336"/>
      <c r="AV1" s="336"/>
      <c r="AW1" s="336"/>
      <c r="AX1" s="336"/>
      <c r="AY1" s="336"/>
      <c r="AZ1" s="336"/>
      <c r="BA1" s="336"/>
      <c r="BB1" s="336"/>
      <c r="BC1" s="336"/>
      <c r="BD1" s="336"/>
      <c r="BE1" s="336"/>
      <c r="BF1" s="336"/>
      <c r="BG1" s="336"/>
      <c r="BH1" s="336"/>
      <c r="BI1" s="336"/>
      <c r="BJ1" s="336"/>
      <c r="BK1" s="336"/>
      <c r="BL1" s="336"/>
      <c r="BM1" s="336"/>
      <c r="BN1" s="336"/>
      <c r="BO1" s="336"/>
      <c r="BP1" s="336"/>
      <c r="BQ1" s="336"/>
      <c r="BR1" s="336"/>
      <c r="BS1" s="336"/>
      <c r="BT1" s="336"/>
      <c r="BU1" s="336"/>
      <c r="BV1" s="336"/>
      <c r="BW1" s="336"/>
      <c r="BX1" s="336"/>
      <c r="BY1" s="336"/>
      <c r="BZ1" s="336"/>
      <c r="CA1" s="336"/>
      <c r="CB1" s="336"/>
      <c r="CC1" s="336"/>
      <c r="CD1" s="336"/>
      <c r="CE1" s="336"/>
      <c r="CF1" s="336"/>
      <c r="CG1" s="336"/>
      <c r="CH1" s="336"/>
      <c r="CI1" s="336"/>
      <c r="CJ1" s="336"/>
      <c r="CK1" s="336"/>
      <c r="CL1" s="336"/>
      <c r="CM1" s="336"/>
      <c r="CN1" s="336"/>
      <c r="CO1" s="336"/>
      <c r="CP1" s="336"/>
      <c r="CQ1" s="336"/>
      <c r="CR1" s="336"/>
      <c r="CS1" s="336"/>
      <c r="CT1" s="336"/>
      <c r="CU1" s="336"/>
      <c r="CV1" s="336"/>
    </row>
    <row r="2" spans="1:100" ht="15.75" thickBot="1" x14ac:dyDescent="0.3">
      <c r="Y2" s="276">
        <v>0.4</v>
      </c>
      <c r="Z2" s="35"/>
      <c r="AA2" s="35"/>
      <c r="AB2" s="35"/>
      <c r="AC2" s="35"/>
      <c r="AD2" s="35"/>
      <c r="AE2" s="35"/>
      <c r="AF2" s="35"/>
      <c r="AG2" s="35"/>
      <c r="AH2" s="35"/>
      <c r="AI2" s="35"/>
      <c r="AJ2" s="35"/>
      <c r="AK2" s="35"/>
      <c r="AL2" s="35"/>
      <c r="AM2" s="35"/>
      <c r="AN2" s="35"/>
      <c r="AO2" s="35"/>
      <c r="AP2" s="35"/>
      <c r="AQ2" s="35"/>
      <c r="AR2" s="276">
        <v>0.05</v>
      </c>
      <c r="AS2" s="35"/>
      <c r="AT2" s="35"/>
      <c r="AU2" s="35"/>
      <c r="AV2" s="35"/>
      <c r="AW2" s="35"/>
      <c r="AX2" s="35"/>
      <c r="AY2" s="35"/>
      <c r="AZ2" s="35"/>
      <c r="BA2" s="35"/>
      <c r="BB2" s="35"/>
      <c r="BC2" s="35"/>
      <c r="BD2" s="35"/>
      <c r="BE2" s="276">
        <v>0.1</v>
      </c>
      <c r="BF2" s="35"/>
      <c r="BG2" s="35"/>
      <c r="BH2" s="35"/>
      <c r="BI2" s="35"/>
      <c r="BJ2" s="35"/>
      <c r="BK2" s="35"/>
      <c r="BL2" s="35"/>
      <c r="BM2" s="35"/>
      <c r="BN2" s="35"/>
      <c r="BO2" s="35"/>
      <c r="BP2" s="35"/>
      <c r="BQ2" s="35"/>
      <c r="BR2" s="35"/>
      <c r="BS2" s="35"/>
      <c r="BT2" s="35"/>
      <c r="BU2" s="35"/>
      <c r="BV2" s="35"/>
      <c r="BW2" s="35"/>
      <c r="BX2" s="35"/>
      <c r="BY2" s="35"/>
      <c r="BZ2" s="35"/>
      <c r="CA2" s="35"/>
      <c r="CB2" s="35"/>
      <c r="CC2" s="35"/>
      <c r="CD2" s="35"/>
      <c r="CE2" s="35"/>
      <c r="CF2" s="35"/>
      <c r="CG2" s="35"/>
      <c r="CH2" s="35"/>
      <c r="CI2" s="35"/>
      <c r="CJ2" s="35"/>
      <c r="CK2" s="276">
        <v>0.4</v>
      </c>
      <c r="CL2" s="35"/>
      <c r="CM2" s="35"/>
      <c r="CN2" s="35"/>
      <c r="CO2" s="35"/>
      <c r="CP2" s="35"/>
      <c r="CQ2" s="35"/>
      <c r="CR2" s="276">
        <v>0.05</v>
      </c>
      <c r="CS2" s="35"/>
      <c r="CT2" s="185">
        <f>SUM(Y2:CS2)</f>
        <v>1</v>
      </c>
      <c r="CU2" s="31"/>
    </row>
    <row r="3" spans="1:100" ht="43.9" customHeight="1" thickBot="1" x14ac:dyDescent="0.3">
      <c r="A3" t="s">
        <v>95</v>
      </c>
      <c r="B3" s="4" t="s">
        <v>77</v>
      </c>
      <c r="C3" s="6" t="s">
        <v>91</v>
      </c>
      <c r="D3" s="20" t="s">
        <v>205</v>
      </c>
      <c r="E3" s="6" t="s">
        <v>242</v>
      </c>
      <c r="F3" s="321" t="s">
        <v>206</v>
      </c>
      <c r="G3" s="321"/>
      <c r="H3" s="321"/>
      <c r="I3" s="321"/>
      <c r="J3" s="322"/>
      <c r="K3" s="318" t="s">
        <v>78</v>
      </c>
      <c r="L3" s="319"/>
      <c r="M3" s="319"/>
      <c r="N3" s="319"/>
      <c r="O3" s="319"/>
      <c r="P3" s="319"/>
      <c r="Q3" s="319"/>
      <c r="R3" s="319"/>
      <c r="S3" s="319"/>
      <c r="T3" s="319"/>
      <c r="U3" s="319"/>
      <c r="V3" s="319"/>
      <c r="W3" s="319"/>
      <c r="X3" s="319"/>
      <c r="Y3" s="319"/>
      <c r="Z3" s="320"/>
      <c r="AA3" s="313" t="s">
        <v>80</v>
      </c>
      <c r="AB3" s="313"/>
      <c r="AC3" s="313"/>
      <c r="AD3" s="313"/>
      <c r="AE3" s="313"/>
      <c r="AF3" s="313"/>
      <c r="AG3" s="313"/>
      <c r="AH3" s="313"/>
      <c r="AI3" s="313"/>
      <c r="AJ3" s="313"/>
      <c r="AK3" s="313"/>
      <c r="AL3" s="313"/>
      <c r="AM3" s="313"/>
      <c r="AN3" s="313"/>
      <c r="AO3" s="313"/>
      <c r="AP3" s="313"/>
      <c r="AQ3" s="313"/>
      <c r="AR3" s="313"/>
      <c r="AS3" s="314"/>
      <c r="AT3" s="170"/>
      <c r="AU3" s="310" t="s">
        <v>89</v>
      </c>
      <c r="AV3" s="311"/>
      <c r="AW3" s="311"/>
      <c r="AX3" s="311"/>
      <c r="AY3" s="311"/>
      <c r="AZ3" s="311"/>
      <c r="BA3" s="311"/>
      <c r="BB3" s="311"/>
      <c r="BC3" s="311"/>
      <c r="BD3" s="311"/>
      <c r="BE3" s="311"/>
      <c r="BF3" s="312"/>
      <c r="BG3" s="328" t="s">
        <v>90</v>
      </c>
      <c r="BH3" s="329"/>
      <c r="BI3" s="329"/>
      <c r="BJ3" s="329"/>
      <c r="BK3" s="329"/>
      <c r="BL3" s="329"/>
      <c r="BM3" s="329"/>
      <c r="BN3" s="330"/>
      <c r="BO3" s="329"/>
      <c r="BP3" s="329"/>
      <c r="BQ3" s="329"/>
      <c r="BR3" s="329"/>
      <c r="BS3" s="329"/>
      <c r="BT3" s="329"/>
      <c r="BU3" s="329"/>
      <c r="BV3" s="329"/>
      <c r="BW3" s="329"/>
      <c r="BX3" s="329"/>
      <c r="BY3" s="329"/>
      <c r="BZ3" s="329"/>
      <c r="CA3" s="329"/>
      <c r="CB3" s="329"/>
      <c r="CC3" s="329"/>
      <c r="CD3" s="329"/>
      <c r="CE3" s="329"/>
      <c r="CF3" s="329"/>
      <c r="CG3" s="329"/>
      <c r="CH3" s="329"/>
      <c r="CI3" s="329"/>
      <c r="CJ3" s="329"/>
      <c r="CK3" s="329"/>
      <c r="CL3" s="331"/>
      <c r="CM3" s="326" t="s">
        <v>376</v>
      </c>
      <c r="CN3" s="326"/>
      <c r="CO3" s="326"/>
      <c r="CP3" s="326"/>
      <c r="CQ3" s="326"/>
      <c r="CR3" s="326"/>
      <c r="CS3" s="327"/>
      <c r="CT3" s="158" t="s">
        <v>79</v>
      </c>
      <c r="CU3" s="6" t="s">
        <v>204</v>
      </c>
      <c r="CV3" s="6" t="s">
        <v>85</v>
      </c>
    </row>
    <row r="4" spans="1:100" s="192" customFormat="1" ht="61.9" customHeight="1" x14ac:dyDescent="0.25">
      <c r="B4" s="162"/>
      <c r="C4" s="163"/>
      <c r="D4" s="163"/>
      <c r="E4" s="169"/>
      <c r="F4" s="167" t="s">
        <v>223</v>
      </c>
      <c r="G4" s="167" t="s">
        <v>222</v>
      </c>
      <c r="H4" s="167" t="s">
        <v>221</v>
      </c>
      <c r="I4" s="167" t="s">
        <v>207</v>
      </c>
      <c r="J4" s="167" t="s">
        <v>257</v>
      </c>
      <c r="K4" s="168" t="s">
        <v>220</v>
      </c>
      <c r="L4" s="168" t="s">
        <v>219</v>
      </c>
      <c r="M4" s="168" t="s">
        <v>218</v>
      </c>
      <c r="N4" s="168" t="s">
        <v>217</v>
      </c>
      <c r="O4" s="168" t="s">
        <v>216</v>
      </c>
      <c r="P4" s="168" t="s">
        <v>208</v>
      </c>
      <c r="Q4" s="168" t="s">
        <v>236</v>
      </c>
      <c r="R4" s="193" t="s">
        <v>215</v>
      </c>
      <c r="S4" s="175" t="s">
        <v>214</v>
      </c>
      <c r="T4" s="175" t="s">
        <v>235</v>
      </c>
      <c r="U4" s="175" t="s">
        <v>213</v>
      </c>
      <c r="V4" s="175" t="s">
        <v>212</v>
      </c>
      <c r="W4" s="175" t="s">
        <v>211</v>
      </c>
      <c r="X4" s="175" t="s">
        <v>210</v>
      </c>
      <c r="Y4" s="168" t="s">
        <v>243</v>
      </c>
      <c r="Z4" s="168" t="s">
        <v>209</v>
      </c>
      <c r="AA4" s="171" t="s">
        <v>224</v>
      </c>
      <c r="AB4" s="184" t="s">
        <v>260</v>
      </c>
      <c r="AC4" s="184" t="s">
        <v>261</v>
      </c>
      <c r="AD4" s="184" t="s">
        <v>268</v>
      </c>
      <c r="AE4" s="184" t="s">
        <v>209</v>
      </c>
      <c r="AF4" s="186" t="s">
        <v>262</v>
      </c>
      <c r="AG4" s="186" t="s">
        <v>263</v>
      </c>
      <c r="AH4" s="186" t="s">
        <v>267</v>
      </c>
      <c r="AI4" s="186" t="s">
        <v>209</v>
      </c>
      <c r="AJ4" s="188" t="s">
        <v>264</v>
      </c>
      <c r="AK4" s="188" t="s">
        <v>265</v>
      </c>
      <c r="AL4" s="188" t="s">
        <v>266</v>
      </c>
      <c r="AM4" s="188" t="s">
        <v>209</v>
      </c>
      <c r="AN4" s="189" t="s">
        <v>269</v>
      </c>
      <c r="AO4" s="189" t="s">
        <v>270</v>
      </c>
      <c r="AP4" s="189" t="s">
        <v>271</v>
      </c>
      <c r="AQ4" s="189" t="s">
        <v>209</v>
      </c>
      <c r="AR4" s="171" t="s">
        <v>245</v>
      </c>
      <c r="AS4" s="171" t="s">
        <v>209</v>
      </c>
      <c r="AT4" s="171" t="s">
        <v>246</v>
      </c>
      <c r="AU4" s="172" t="s">
        <v>228</v>
      </c>
      <c r="AV4" s="172" t="s">
        <v>225</v>
      </c>
      <c r="AW4" s="172" t="s">
        <v>226</v>
      </c>
      <c r="AX4" s="172" t="s">
        <v>234</v>
      </c>
      <c r="AY4" s="172" t="s">
        <v>241</v>
      </c>
      <c r="AZ4" s="172" t="s">
        <v>227</v>
      </c>
      <c r="BA4" s="186" t="s">
        <v>272</v>
      </c>
      <c r="BB4" s="186" t="s">
        <v>273</v>
      </c>
      <c r="BC4" s="186" t="s">
        <v>275</v>
      </c>
      <c r="BD4" s="190" t="s">
        <v>209</v>
      </c>
      <c r="BE4" s="172" t="s">
        <v>274</v>
      </c>
      <c r="BF4" s="172" t="s">
        <v>209</v>
      </c>
      <c r="BG4" s="177" t="s">
        <v>232</v>
      </c>
      <c r="BH4" s="177" t="s">
        <v>238</v>
      </c>
      <c r="BI4" s="177" t="s">
        <v>237</v>
      </c>
      <c r="BJ4" s="177" t="s">
        <v>229</v>
      </c>
      <c r="BK4" s="177" t="s">
        <v>231</v>
      </c>
      <c r="BL4" s="177" t="s">
        <v>233</v>
      </c>
      <c r="BM4" s="177" t="s">
        <v>230</v>
      </c>
      <c r="BN4" s="179" t="s">
        <v>239</v>
      </c>
      <c r="BO4" s="194" t="s">
        <v>277</v>
      </c>
      <c r="BP4" s="194" t="s">
        <v>278</v>
      </c>
      <c r="BQ4" s="194" t="s">
        <v>276</v>
      </c>
      <c r="BR4" s="194" t="s">
        <v>209</v>
      </c>
      <c r="BS4" s="196" t="s">
        <v>279</v>
      </c>
      <c r="BT4" s="196" t="s">
        <v>280</v>
      </c>
      <c r="BU4" s="196" t="s">
        <v>281</v>
      </c>
      <c r="BV4" s="196" t="s">
        <v>209</v>
      </c>
      <c r="BW4" s="199" t="s">
        <v>282</v>
      </c>
      <c r="BX4" s="199" t="s">
        <v>283</v>
      </c>
      <c r="BY4" s="199" t="s">
        <v>284</v>
      </c>
      <c r="BZ4" s="199" t="s">
        <v>209</v>
      </c>
      <c r="CA4" s="202" t="s">
        <v>285</v>
      </c>
      <c r="CB4" s="202" t="s">
        <v>286</v>
      </c>
      <c r="CC4" s="202" t="s">
        <v>287</v>
      </c>
      <c r="CD4" s="202" t="s">
        <v>209</v>
      </c>
      <c r="CE4" s="177" t="s">
        <v>247</v>
      </c>
      <c r="CF4" s="177" t="s">
        <v>248</v>
      </c>
      <c r="CG4" s="177" t="s">
        <v>249</v>
      </c>
      <c r="CH4" s="177" t="s">
        <v>250</v>
      </c>
      <c r="CI4" s="177" t="s">
        <v>240</v>
      </c>
      <c r="CJ4" s="177" t="s">
        <v>251</v>
      </c>
      <c r="CK4" s="177" t="s">
        <v>252</v>
      </c>
      <c r="CL4" s="177" t="s">
        <v>209</v>
      </c>
      <c r="CM4" s="180" t="s">
        <v>253</v>
      </c>
      <c r="CN4" s="180" t="s">
        <v>254</v>
      </c>
      <c r="CO4" s="180" t="s">
        <v>255</v>
      </c>
      <c r="CP4" s="180" t="s">
        <v>256</v>
      </c>
      <c r="CQ4" s="180" t="s">
        <v>244</v>
      </c>
      <c r="CR4" s="180" t="s">
        <v>258</v>
      </c>
      <c r="CS4" s="180" t="s">
        <v>209</v>
      </c>
      <c r="CT4" s="163"/>
      <c r="CU4" s="163"/>
      <c r="CV4" s="163"/>
    </row>
    <row r="5" spans="1:100" s="159" customFormat="1" x14ac:dyDescent="0.2">
      <c r="B5" s="301" t="s">
        <v>11</v>
      </c>
      <c r="C5" s="304" t="s">
        <v>12</v>
      </c>
      <c r="D5" s="304">
        <v>1</v>
      </c>
      <c r="E5" s="183" t="s">
        <v>126</v>
      </c>
      <c r="F5" s="167"/>
      <c r="G5" s="167"/>
      <c r="H5" s="167"/>
      <c r="I5" s="167"/>
      <c r="J5" s="315">
        <v>1</v>
      </c>
      <c r="K5" s="168"/>
      <c r="L5" s="295"/>
      <c r="M5" s="295"/>
      <c r="N5" s="295"/>
      <c r="O5" s="168"/>
      <c r="P5" s="168"/>
      <c r="Q5" s="168"/>
      <c r="R5" s="332"/>
      <c r="S5" s="176"/>
      <c r="T5" s="176"/>
      <c r="U5" s="176"/>
      <c r="V5" s="176"/>
      <c r="W5" s="176"/>
      <c r="X5" s="176"/>
      <c r="Y5" s="168"/>
      <c r="Z5" s="168"/>
      <c r="AA5" s="171"/>
      <c r="AB5" s="184">
        <v>0.7</v>
      </c>
      <c r="AC5" s="184">
        <v>1</v>
      </c>
      <c r="AD5" s="184">
        <f>AC5-AB5</f>
        <v>0.30000000000000004</v>
      </c>
      <c r="AE5" s="184"/>
      <c r="AF5" s="186"/>
      <c r="AG5" s="186"/>
      <c r="AH5" s="186"/>
      <c r="AI5" s="186"/>
      <c r="AJ5" s="188"/>
      <c r="AK5" s="188"/>
      <c r="AL5" s="188"/>
      <c r="AM5" s="188"/>
      <c r="AN5" s="189"/>
      <c r="AO5" s="189"/>
      <c r="AP5" s="189"/>
      <c r="AQ5" s="189"/>
      <c r="AR5" s="171">
        <v>1</v>
      </c>
      <c r="AS5" s="171"/>
      <c r="AT5" s="171"/>
      <c r="AU5" s="172"/>
      <c r="AV5" s="323"/>
      <c r="AW5" s="323"/>
      <c r="AX5" s="172"/>
      <c r="AY5" s="172"/>
      <c r="AZ5" s="172"/>
      <c r="BA5" s="186">
        <v>980</v>
      </c>
      <c r="BB5" s="186">
        <v>980</v>
      </c>
      <c r="BC5" s="186">
        <f>BA5-BB5</f>
        <v>0</v>
      </c>
      <c r="BD5" s="190"/>
      <c r="BE5" s="172"/>
      <c r="BF5" s="172"/>
      <c r="BG5" s="177"/>
      <c r="BH5" s="177"/>
      <c r="BI5" s="177"/>
      <c r="BJ5" s="177"/>
      <c r="BK5" s="177"/>
      <c r="BL5" s="177"/>
      <c r="BM5" s="177"/>
      <c r="BN5" s="333"/>
      <c r="BO5" s="157"/>
      <c r="BP5" s="157"/>
      <c r="BQ5" s="157"/>
      <c r="BR5" s="157"/>
      <c r="BS5" s="197"/>
      <c r="BT5" s="197"/>
      <c r="BU5" s="197"/>
      <c r="BV5" s="197"/>
      <c r="BW5" s="200">
        <v>3</v>
      </c>
      <c r="BX5" s="200">
        <v>2.7</v>
      </c>
      <c r="BY5" s="200">
        <f>BW5-BX5</f>
        <v>0.29999999999999982</v>
      </c>
      <c r="BZ5" s="200"/>
      <c r="CA5" s="203"/>
      <c r="CB5" s="203"/>
      <c r="CC5" s="203"/>
      <c r="CD5" s="203"/>
      <c r="CE5" s="178"/>
      <c r="CF5" s="178"/>
      <c r="CG5" s="178"/>
      <c r="CH5" s="178"/>
      <c r="CI5" s="178"/>
      <c r="CJ5" s="178"/>
      <c r="CK5" s="179"/>
      <c r="CL5" s="179"/>
      <c r="CM5" s="292"/>
      <c r="CN5" s="181"/>
      <c r="CO5" s="181"/>
      <c r="CP5" s="181"/>
      <c r="CQ5" s="181"/>
      <c r="CR5" s="181"/>
      <c r="CS5" s="181"/>
      <c r="CT5" s="163"/>
      <c r="CU5" s="163"/>
      <c r="CV5" s="163"/>
    </row>
    <row r="6" spans="1:100" s="159" customFormat="1" x14ac:dyDescent="0.2">
      <c r="B6" s="302"/>
      <c r="C6" s="305"/>
      <c r="D6" s="305"/>
      <c r="E6" s="183" t="s">
        <v>119</v>
      </c>
      <c r="F6" s="167"/>
      <c r="G6" s="167"/>
      <c r="H6" s="167"/>
      <c r="I6" s="167"/>
      <c r="J6" s="316"/>
      <c r="K6" s="168"/>
      <c r="L6" s="296"/>
      <c r="M6" s="296"/>
      <c r="N6" s="296"/>
      <c r="O6" s="168"/>
      <c r="P6" s="168"/>
      <c r="Q6" s="168"/>
      <c r="R6" s="296"/>
      <c r="S6" s="176"/>
      <c r="T6" s="176"/>
      <c r="U6" s="176"/>
      <c r="V6" s="176"/>
      <c r="W6" s="176"/>
      <c r="X6" s="176"/>
      <c r="Y6" s="168"/>
      <c r="Z6" s="168"/>
      <c r="AA6" s="171"/>
      <c r="AB6" s="184">
        <v>0.9</v>
      </c>
      <c r="AC6" s="184">
        <v>0.5</v>
      </c>
      <c r="AD6" s="184">
        <f t="shared" ref="AD6:AD69" si="0">AC6-AB6</f>
        <v>-0.4</v>
      </c>
      <c r="AE6" s="184"/>
      <c r="AF6" s="186"/>
      <c r="AG6" s="186"/>
      <c r="AH6" s="186"/>
      <c r="AI6" s="186"/>
      <c r="AJ6" s="188"/>
      <c r="AK6" s="188"/>
      <c r="AL6" s="188"/>
      <c r="AM6" s="188"/>
      <c r="AN6" s="189"/>
      <c r="AO6" s="189"/>
      <c r="AP6" s="189"/>
      <c r="AQ6" s="189"/>
      <c r="AR6" s="171">
        <v>1</v>
      </c>
      <c r="AS6" s="171"/>
      <c r="AT6" s="171"/>
      <c r="AU6" s="172"/>
      <c r="AV6" s="324"/>
      <c r="AW6" s="324"/>
      <c r="AX6" s="172"/>
      <c r="AY6" s="172"/>
      <c r="AZ6" s="172"/>
      <c r="BA6" s="186"/>
      <c r="BB6" s="186"/>
      <c r="BC6" s="186"/>
      <c r="BD6" s="190"/>
      <c r="BE6" s="172"/>
      <c r="BF6" s="172"/>
      <c r="BG6" s="177"/>
      <c r="BH6" s="177"/>
      <c r="BI6" s="177"/>
      <c r="BJ6" s="177"/>
      <c r="BK6" s="177"/>
      <c r="BL6" s="177"/>
      <c r="BM6" s="177"/>
      <c r="BN6" s="333"/>
      <c r="BO6" s="157"/>
      <c r="BP6" s="157"/>
      <c r="BQ6" s="157"/>
      <c r="BR6" s="157"/>
      <c r="BS6" s="197"/>
      <c r="BT6" s="197"/>
      <c r="BU6" s="197"/>
      <c r="BV6" s="197"/>
      <c r="BW6" s="200"/>
      <c r="BX6" s="200"/>
      <c r="BY6" s="200"/>
      <c r="BZ6" s="200"/>
      <c r="CA6" s="203"/>
      <c r="CB6" s="203"/>
      <c r="CC6" s="203"/>
      <c r="CD6" s="203"/>
      <c r="CE6" s="178"/>
      <c r="CF6" s="178"/>
      <c r="CG6" s="178"/>
      <c r="CH6" s="178"/>
      <c r="CI6" s="178"/>
      <c r="CJ6" s="178"/>
      <c r="CK6" s="179"/>
      <c r="CL6" s="179"/>
      <c r="CM6" s="293"/>
      <c r="CN6" s="181"/>
      <c r="CO6" s="181"/>
      <c r="CP6" s="181"/>
      <c r="CQ6" s="181"/>
      <c r="CR6" s="181"/>
      <c r="CS6" s="181"/>
      <c r="CT6" s="163"/>
      <c r="CU6" s="163"/>
      <c r="CV6" s="163"/>
    </row>
    <row r="7" spans="1:100" s="159" customFormat="1" x14ac:dyDescent="0.2">
      <c r="B7" s="302"/>
      <c r="C7" s="305"/>
      <c r="D7" s="305"/>
      <c r="E7" s="183" t="s">
        <v>122</v>
      </c>
      <c r="F7" s="167"/>
      <c r="G7" s="167"/>
      <c r="H7" s="167"/>
      <c r="I7" s="167"/>
      <c r="J7" s="316"/>
      <c r="K7" s="168"/>
      <c r="L7" s="296"/>
      <c r="M7" s="296"/>
      <c r="N7" s="296"/>
      <c r="O7" s="168"/>
      <c r="P7" s="168"/>
      <c r="Q7" s="168"/>
      <c r="R7" s="296"/>
      <c r="S7" s="176"/>
      <c r="T7" s="176"/>
      <c r="U7" s="176"/>
      <c r="V7" s="176"/>
      <c r="W7" s="176"/>
      <c r="X7" s="176"/>
      <c r="Y7" s="168"/>
      <c r="Z7" s="168"/>
      <c r="AA7" s="171"/>
      <c r="AB7" s="184"/>
      <c r="AC7" s="184"/>
      <c r="AD7" s="184">
        <f t="shared" si="0"/>
        <v>0</v>
      </c>
      <c r="AE7" s="184"/>
      <c r="AF7" s="186"/>
      <c r="AG7" s="186"/>
      <c r="AH7" s="186"/>
      <c r="AI7" s="186"/>
      <c r="AJ7" s="188"/>
      <c r="AK7" s="188"/>
      <c r="AL7" s="188"/>
      <c r="AM7" s="188"/>
      <c r="AN7" s="189"/>
      <c r="AO7" s="189"/>
      <c r="AP7" s="189"/>
      <c r="AQ7" s="189"/>
      <c r="AR7" s="171">
        <v>1</v>
      </c>
      <c r="AS7" s="171"/>
      <c r="AT7" s="171"/>
      <c r="AU7" s="172"/>
      <c r="AV7" s="324"/>
      <c r="AW7" s="324"/>
      <c r="AX7" s="172"/>
      <c r="AY7" s="172"/>
      <c r="AZ7" s="172"/>
      <c r="BA7" s="186"/>
      <c r="BB7" s="186"/>
      <c r="BC7" s="186"/>
      <c r="BD7" s="190"/>
      <c r="BE7" s="172"/>
      <c r="BF7" s="172"/>
      <c r="BG7" s="177"/>
      <c r="BH7" s="177"/>
      <c r="BI7" s="177"/>
      <c r="BJ7" s="177"/>
      <c r="BK7" s="177"/>
      <c r="BL7" s="177"/>
      <c r="BM7" s="177"/>
      <c r="BN7" s="333"/>
      <c r="BO7" s="157"/>
      <c r="BP7" s="157"/>
      <c r="BQ7" s="157"/>
      <c r="BR7" s="157"/>
      <c r="BS7" s="197"/>
      <c r="BT7" s="197"/>
      <c r="BU7" s="197"/>
      <c r="BV7" s="197"/>
      <c r="BW7" s="200"/>
      <c r="BX7" s="200"/>
      <c r="BY7" s="200"/>
      <c r="BZ7" s="200"/>
      <c r="CA7" s="203"/>
      <c r="CB7" s="203"/>
      <c r="CC7" s="203"/>
      <c r="CD7" s="203"/>
      <c r="CE7" s="178"/>
      <c r="CF7" s="178"/>
      <c r="CG7" s="178"/>
      <c r="CH7" s="178"/>
      <c r="CI7" s="178"/>
      <c r="CJ7" s="178"/>
      <c r="CK7" s="179"/>
      <c r="CL7" s="179"/>
      <c r="CM7" s="293"/>
      <c r="CN7" s="181"/>
      <c r="CO7" s="181"/>
      <c r="CP7" s="181"/>
      <c r="CQ7" s="181"/>
      <c r="CR7" s="181"/>
      <c r="CS7" s="181"/>
      <c r="CT7" s="163"/>
      <c r="CU7" s="163"/>
      <c r="CV7" s="163"/>
    </row>
    <row r="8" spans="1:100" s="159" customFormat="1" x14ac:dyDescent="0.2">
      <c r="B8" s="303"/>
      <c r="C8" s="306"/>
      <c r="D8" s="306"/>
      <c r="E8" s="183" t="s">
        <v>117</v>
      </c>
      <c r="F8" s="167"/>
      <c r="G8" s="167"/>
      <c r="H8" s="167"/>
      <c r="I8" s="167"/>
      <c r="J8" s="317"/>
      <c r="K8" s="168"/>
      <c r="L8" s="297"/>
      <c r="M8" s="297"/>
      <c r="N8" s="297"/>
      <c r="O8" s="168"/>
      <c r="P8" s="168"/>
      <c r="Q8" s="168"/>
      <c r="R8" s="297"/>
      <c r="S8" s="176"/>
      <c r="T8" s="176"/>
      <c r="U8" s="176"/>
      <c r="V8" s="176"/>
      <c r="W8" s="176"/>
      <c r="X8" s="176"/>
      <c r="Y8" s="168"/>
      <c r="Z8" s="168"/>
      <c r="AA8" s="171"/>
      <c r="AB8" s="184"/>
      <c r="AC8" s="184"/>
      <c r="AD8" s="184">
        <f t="shared" si="0"/>
        <v>0</v>
      </c>
      <c r="AE8" s="184"/>
      <c r="AF8" s="186"/>
      <c r="AG8" s="186"/>
      <c r="AH8" s="186"/>
      <c r="AI8" s="186"/>
      <c r="AJ8" s="188"/>
      <c r="AK8" s="188"/>
      <c r="AL8" s="188"/>
      <c r="AM8" s="188"/>
      <c r="AN8" s="189"/>
      <c r="AO8" s="189"/>
      <c r="AP8" s="189"/>
      <c r="AQ8" s="189"/>
      <c r="AR8" s="171">
        <v>1</v>
      </c>
      <c r="AS8" s="171"/>
      <c r="AT8" s="171"/>
      <c r="AU8" s="172"/>
      <c r="AV8" s="325"/>
      <c r="AW8" s="325"/>
      <c r="AX8" s="172"/>
      <c r="AY8" s="172"/>
      <c r="AZ8" s="172"/>
      <c r="BA8" s="186"/>
      <c r="BB8" s="186"/>
      <c r="BC8" s="186"/>
      <c r="BD8" s="190"/>
      <c r="BE8" s="172"/>
      <c r="BF8" s="172"/>
      <c r="BG8" s="177"/>
      <c r="BH8" s="177"/>
      <c r="BI8" s="177"/>
      <c r="BJ8" s="177"/>
      <c r="BK8" s="177"/>
      <c r="BL8" s="177"/>
      <c r="BM8" s="177"/>
      <c r="BN8" s="334"/>
      <c r="BO8" s="157"/>
      <c r="BP8" s="157"/>
      <c r="BQ8" s="157"/>
      <c r="BR8" s="157"/>
      <c r="BS8" s="197"/>
      <c r="BT8" s="197"/>
      <c r="BU8" s="197"/>
      <c r="BV8" s="197"/>
      <c r="BW8" s="200"/>
      <c r="BX8" s="200"/>
      <c r="BY8" s="200"/>
      <c r="BZ8" s="200"/>
      <c r="CA8" s="203"/>
      <c r="CB8" s="203"/>
      <c r="CC8" s="203"/>
      <c r="CD8" s="203"/>
      <c r="CE8" s="178"/>
      <c r="CF8" s="178"/>
      <c r="CG8" s="178"/>
      <c r="CH8" s="178"/>
      <c r="CI8" s="178"/>
      <c r="CJ8" s="178"/>
      <c r="CK8" s="179"/>
      <c r="CL8" s="179"/>
      <c r="CM8" s="294"/>
      <c r="CN8" s="181"/>
      <c r="CO8" s="181"/>
      <c r="CP8" s="181"/>
      <c r="CQ8" s="181"/>
      <c r="CR8" s="181"/>
      <c r="CS8" s="181"/>
      <c r="CT8" s="163"/>
      <c r="CU8" s="163"/>
      <c r="CV8" s="163"/>
    </row>
    <row r="9" spans="1:100" s="159" customFormat="1" x14ac:dyDescent="0.2">
      <c r="B9" s="301" t="s">
        <v>13</v>
      </c>
      <c r="C9" s="304" t="s">
        <v>26</v>
      </c>
      <c r="D9" s="304">
        <v>1</v>
      </c>
      <c r="E9" s="183" t="s">
        <v>126</v>
      </c>
      <c r="F9" s="167"/>
      <c r="G9" s="167"/>
      <c r="H9" s="167"/>
      <c r="I9" s="167"/>
      <c r="J9" s="298">
        <v>1</v>
      </c>
      <c r="K9" s="168"/>
      <c r="L9" s="295"/>
      <c r="M9" s="295"/>
      <c r="N9" s="295"/>
      <c r="O9" s="168"/>
      <c r="P9" s="168"/>
      <c r="Q9" s="168"/>
      <c r="R9" s="295"/>
      <c r="S9" s="176"/>
      <c r="T9" s="176"/>
      <c r="U9" s="176"/>
      <c r="V9" s="176"/>
      <c r="W9" s="176"/>
      <c r="X9" s="176"/>
      <c r="Y9" s="168"/>
      <c r="Z9" s="168"/>
      <c r="AA9" s="171"/>
      <c r="AB9" s="184"/>
      <c r="AC9" s="184"/>
      <c r="AD9" s="184">
        <f t="shared" si="0"/>
        <v>0</v>
      </c>
      <c r="AE9" s="184"/>
      <c r="AF9" s="186"/>
      <c r="AG9" s="186"/>
      <c r="AH9" s="186"/>
      <c r="AI9" s="186"/>
      <c r="AJ9" s="188"/>
      <c r="AK9" s="188"/>
      <c r="AL9" s="188"/>
      <c r="AM9" s="188"/>
      <c r="AN9" s="189"/>
      <c r="AO9" s="189"/>
      <c r="AP9" s="189"/>
      <c r="AQ9" s="189"/>
      <c r="AR9" s="171">
        <v>1</v>
      </c>
      <c r="AS9" s="171"/>
      <c r="AT9" s="171"/>
      <c r="AU9" s="172"/>
      <c r="AV9" s="323"/>
      <c r="AW9" s="323"/>
      <c r="AX9" s="172"/>
      <c r="AY9" s="172"/>
      <c r="AZ9" s="172"/>
      <c r="BA9" s="186"/>
      <c r="BB9" s="186"/>
      <c r="BC9" s="186"/>
      <c r="BD9" s="190"/>
      <c r="BE9" s="172"/>
      <c r="BF9" s="172"/>
      <c r="BG9" s="177"/>
      <c r="BH9" s="177"/>
      <c r="BI9" s="177"/>
      <c r="BJ9" s="177"/>
      <c r="BK9" s="177"/>
      <c r="BL9" s="177"/>
      <c r="BM9" s="177"/>
      <c r="BN9" s="335"/>
      <c r="BO9" s="157"/>
      <c r="BP9" s="157"/>
      <c r="BQ9" s="157"/>
      <c r="BR9" s="157"/>
      <c r="BS9" s="197"/>
      <c r="BT9" s="197"/>
      <c r="BU9" s="197"/>
      <c r="BV9" s="197"/>
      <c r="BW9" s="200"/>
      <c r="BX9" s="200"/>
      <c r="BY9" s="200"/>
      <c r="BZ9" s="200"/>
      <c r="CA9" s="203"/>
      <c r="CB9" s="203"/>
      <c r="CC9" s="203"/>
      <c r="CD9" s="203"/>
      <c r="CE9" s="178"/>
      <c r="CF9" s="178"/>
      <c r="CG9" s="178"/>
      <c r="CH9" s="178"/>
      <c r="CI9" s="178"/>
      <c r="CJ9" s="178"/>
      <c r="CK9" s="179"/>
      <c r="CL9" s="179"/>
      <c r="CM9" s="292"/>
      <c r="CN9" s="181"/>
      <c r="CO9" s="181"/>
      <c r="CP9" s="181"/>
      <c r="CQ9" s="181"/>
      <c r="CR9" s="181"/>
      <c r="CS9" s="181"/>
      <c r="CT9" s="163"/>
      <c r="CU9" s="163"/>
      <c r="CV9" s="163"/>
    </row>
    <row r="10" spans="1:100" s="159" customFormat="1" x14ac:dyDescent="0.2">
      <c r="B10" s="302"/>
      <c r="C10" s="305"/>
      <c r="D10" s="305"/>
      <c r="E10" s="183" t="s">
        <v>119</v>
      </c>
      <c r="F10" s="167"/>
      <c r="G10" s="167"/>
      <c r="H10" s="167"/>
      <c r="I10" s="167"/>
      <c r="J10" s="299"/>
      <c r="K10" s="168"/>
      <c r="L10" s="296"/>
      <c r="M10" s="296"/>
      <c r="N10" s="296"/>
      <c r="O10" s="168"/>
      <c r="P10" s="168"/>
      <c r="Q10" s="168"/>
      <c r="R10" s="296"/>
      <c r="S10" s="176"/>
      <c r="T10" s="176"/>
      <c r="U10" s="176"/>
      <c r="V10" s="176"/>
      <c r="W10" s="176"/>
      <c r="X10" s="176"/>
      <c r="Y10" s="168"/>
      <c r="Z10" s="168"/>
      <c r="AA10" s="171"/>
      <c r="AB10" s="184"/>
      <c r="AC10" s="184"/>
      <c r="AD10" s="184">
        <f t="shared" si="0"/>
        <v>0</v>
      </c>
      <c r="AE10" s="184"/>
      <c r="AF10" s="186"/>
      <c r="AG10" s="186"/>
      <c r="AH10" s="186"/>
      <c r="AI10" s="186"/>
      <c r="AJ10" s="188"/>
      <c r="AK10" s="188"/>
      <c r="AL10" s="188"/>
      <c r="AM10" s="188"/>
      <c r="AN10" s="189"/>
      <c r="AO10" s="189"/>
      <c r="AP10" s="189"/>
      <c r="AQ10" s="189"/>
      <c r="AR10" s="171"/>
      <c r="AS10" s="171"/>
      <c r="AT10" s="171"/>
      <c r="AU10" s="172"/>
      <c r="AV10" s="324"/>
      <c r="AW10" s="324"/>
      <c r="AX10" s="172"/>
      <c r="AY10" s="172"/>
      <c r="AZ10" s="172"/>
      <c r="BA10" s="186"/>
      <c r="BB10" s="186"/>
      <c r="BC10" s="186"/>
      <c r="BD10" s="190"/>
      <c r="BE10" s="172"/>
      <c r="BF10" s="172"/>
      <c r="BG10" s="177"/>
      <c r="BH10" s="177"/>
      <c r="BI10" s="177"/>
      <c r="BJ10" s="177"/>
      <c r="BK10" s="177"/>
      <c r="BL10" s="177"/>
      <c r="BM10" s="177"/>
      <c r="BN10" s="333"/>
      <c r="BO10" s="157"/>
      <c r="BP10" s="157"/>
      <c r="BQ10" s="157"/>
      <c r="BR10" s="157"/>
      <c r="BS10" s="197"/>
      <c r="BT10" s="197"/>
      <c r="BU10" s="197"/>
      <c r="BV10" s="197"/>
      <c r="BW10" s="200"/>
      <c r="BX10" s="200"/>
      <c r="BY10" s="200"/>
      <c r="BZ10" s="200"/>
      <c r="CA10" s="203"/>
      <c r="CB10" s="203"/>
      <c r="CC10" s="203"/>
      <c r="CD10" s="203"/>
      <c r="CE10" s="178"/>
      <c r="CF10" s="178"/>
      <c r="CG10" s="178"/>
      <c r="CH10" s="178"/>
      <c r="CI10" s="178"/>
      <c r="CJ10" s="178"/>
      <c r="CK10" s="179"/>
      <c r="CL10" s="179"/>
      <c r="CM10" s="293"/>
      <c r="CN10" s="181"/>
      <c r="CO10" s="181"/>
      <c r="CP10" s="181"/>
      <c r="CQ10" s="181"/>
      <c r="CR10" s="181"/>
      <c r="CS10" s="181"/>
      <c r="CT10" s="163"/>
      <c r="CU10" s="163"/>
      <c r="CV10" s="163"/>
    </row>
    <row r="11" spans="1:100" s="159" customFormat="1" x14ac:dyDescent="0.2">
      <c r="B11" s="302"/>
      <c r="C11" s="305"/>
      <c r="D11" s="305"/>
      <c r="E11" s="183" t="s">
        <v>122</v>
      </c>
      <c r="F11" s="167"/>
      <c r="G11" s="167"/>
      <c r="H11" s="167"/>
      <c r="I11" s="167"/>
      <c r="J11" s="299"/>
      <c r="K11" s="168"/>
      <c r="L11" s="296"/>
      <c r="M11" s="296"/>
      <c r="N11" s="296"/>
      <c r="O11" s="168"/>
      <c r="P11" s="168"/>
      <c r="Q11" s="168"/>
      <c r="R11" s="296"/>
      <c r="S11" s="176"/>
      <c r="T11" s="176"/>
      <c r="U11" s="176"/>
      <c r="V11" s="176"/>
      <c r="W11" s="176"/>
      <c r="X11" s="176"/>
      <c r="Y11" s="168"/>
      <c r="Z11" s="168"/>
      <c r="AA11" s="171"/>
      <c r="AB11" s="184"/>
      <c r="AC11" s="184"/>
      <c r="AD11" s="184">
        <f t="shared" si="0"/>
        <v>0</v>
      </c>
      <c r="AE11" s="184"/>
      <c r="AF11" s="186"/>
      <c r="AG11" s="186"/>
      <c r="AH11" s="186"/>
      <c r="AI11" s="186"/>
      <c r="AJ11" s="188"/>
      <c r="AK11" s="188"/>
      <c r="AL11" s="188"/>
      <c r="AM11" s="188"/>
      <c r="AN11" s="189"/>
      <c r="AO11" s="189"/>
      <c r="AP11" s="189"/>
      <c r="AQ11" s="189"/>
      <c r="AR11" s="171"/>
      <c r="AS11" s="171"/>
      <c r="AT11" s="171"/>
      <c r="AU11" s="172"/>
      <c r="AV11" s="324"/>
      <c r="AW11" s="324"/>
      <c r="AX11" s="172"/>
      <c r="AY11" s="172"/>
      <c r="AZ11" s="172"/>
      <c r="BA11" s="186"/>
      <c r="BB11" s="186"/>
      <c r="BC11" s="186"/>
      <c r="BD11" s="190"/>
      <c r="BE11" s="172"/>
      <c r="BF11" s="172"/>
      <c r="BG11" s="177"/>
      <c r="BH11" s="177"/>
      <c r="BI11" s="177"/>
      <c r="BJ11" s="177"/>
      <c r="BK11" s="177"/>
      <c r="BL11" s="177"/>
      <c r="BM11" s="177"/>
      <c r="BN11" s="333"/>
      <c r="BO11" s="157"/>
      <c r="BP11" s="157"/>
      <c r="BQ11" s="157"/>
      <c r="BR11" s="157"/>
      <c r="BS11" s="197"/>
      <c r="BT11" s="197"/>
      <c r="BU11" s="197"/>
      <c r="BV11" s="197"/>
      <c r="BW11" s="200"/>
      <c r="BX11" s="200"/>
      <c r="BY11" s="200"/>
      <c r="BZ11" s="200"/>
      <c r="CA11" s="203"/>
      <c r="CB11" s="203"/>
      <c r="CC11" s="203"/>
      <c r="CD11" s="203"/>
      <c r="CE11" s="178"/>
      <c r="CF11" s="178"/>
      <c r="CG11" s="178"/>
      <c r="CH11" s="178"/>
      <c r="CI11" s="178"/>
      <c r="CJ11" s="178"/>
      <c r="CK11" s="179"/>
      <c r="CL11" s="179"/>
      <c r="CM11" s="293"/>
      <c r="CN11" s="181"/>
      <c r="CO11" s="181"/>
      <c r="CP11" s="181"/>
      <c r="CQ11" s="181"/>
      <c r="CR11" s="181"/>
      <c r="CS11" s="181"/>
      <c r="CT11" s="163"/>
      <c r="CU11" s="163"/>
      <c r="CV11" s="163"/>
    </row>
    <row r="12" spans="1:100" x14ac:dyDescent="0.25">
      <c r="A12" t="s">
        <v>92</v>
      </c>
      <c r="B12" s="303"/>
      <c r="C12" s="306"/>
      <c r="D12" s="306"/>
      <c r="E12" s="19" t="s">
        <v>117</v>
      </c>
      <c r="F12" s="160"/>
      <c r="G12" s="160"/>
      <c r="H12" s="160"/>
      <c r="I12" s="160"/>
      <c r="J12" s="300"/>
      <c r="K12" s="164"/>
      <c r="L12" s="297"/>
      <c r="M12" s="297"/>
      <c r="N12" s="297"/>
      <c r="O12" s="164"/>
      <c r="P12" s="164"/>
      <c r="Q12" s="164"/>
      <c r="R12" s="297"/>
      <c r="S12" s="164"/>
      <c r="T12" s="164"/>
      <c r="U12" s="164"/>
      <c r="V12" s="164"/>
      <c r="W12" s="164"/>
      <c r="X12" s="164"/>
      <c r="Y12" s="165">
        <v>1</v>
      </c>
      <c r="Z12" s="165"/>
      <c r="AA12" s="27"/>
      <c r="AB12" s="185"/>
      <c r="AC12" s="185"/>
      <c r="AD12" s="184">
        <f t="shared" si="0"/>
        <v>0</v>
      </c>
      <c r="AE12" s="185"/>
      <c r="AF12" s="187"/>
      <c r="AG12" s="187"/>
      <c r="AH12" s="187"/>
      <c r="AI12" s="187"/>
      <c r="AJ12" s="57"/>
      <c r="AK12" s="57"/>
      <c r="AL12" s="57"/>
      <c r="AM12" s="57"/>
      <c r="AN12" s="28"/>
      <c r="AO12" s="28"/>
      <c r="AP12" s="28"/>
      <c r="AQ12" s="28"/>
      <c r="AR12" s="27">
        <v>1</v>
      </c>
      <c r="AS12" s="27"/>
      <c r="AT12" s="27"/>
      <c r="AU12" s="105"/>
      <c r="AV12" s="325"/>
      <c r="AW12" s="325"/>
      <c r="AX12" s="105"/>
      <c r="AY12" s="105"/>
      <c r="AZ12" s="105"/>
      <c r="BA12" s="187"/>
      <c r="BB12" s="187"/>
      <c r="BC12" s="187"/>
      <c r="BD12" s="191"/>
      <c r="BE12" s="105">
        <v>1</v>
      </c>
      <c r="BF12" s="105"/>
      <c r="BG12" s="84"/>
      <c r="BH12" s="84"/>
      <c r="BI12" s="84"/>
      <c r="BJ12" s="84"/>
      <c r="BK12" s="84"/>
      <c r="BL12" s="84"/>
      <c r="BM12" s="84"/>
      <c r="BN12" s="334"/>
      <c r="BO12" s="195"/>
      <c r="BP12" s="195"/>
      <c r="BQ12" s="195"/>
      <c r="BR12" s="195"/>
      <c r="BS12" s="198"/>
      <c r="BT12" s="198"/>
      <c r="BU12" s="198"/>
      <c r="BV12" s="198"/>
      <c r="BW12" s="201"/>
      <c r="BX12" s="201"/>
      <c r="BY12" s="201"/>
      <c r="BZ12" s="201"/>
      <c r="CA12" s="204"/>
      <c r="CB12" s="204"/>
      <c r="CC12" s="204"/>
      <c r="CD12" s="204"/>
      <c r="CE12" s="84"/>
      <c r="CF12" s="84"/>
      <c r="CG12" s="84"/>
      <c r="CH12" s="84"/>
      <c r="CI12" s="84"/>
      <c r="CJ12" s="84"/>
      <c r="CK12" s="84">
        <v>1</v>
      </c>
      <c r="CL12" s="84"/>
      <c r="CM12" s="294"/>
      <c r="CN12" s="182"/>
      <c r="CO12" s="182"/>
      <c r="CP12" s="182"/>
      <c r="CQ12" s="182"/>
      <c r="CR12" s="182">
        <v>1</v>
      </c>
      <c r="CS12" s="182"/>
      <c r="CT12" s="3">
        <f>SUMPRODUCT(Y$2:CS$2,Y12:CS12)</f>
        <v>1</v>
      </c>
      <c r="CU12" s="3"/>
      <c r="CV12" s="1"/>
    </row>
    <row r="13" spans="1:100" x14ac:dyDescent="0.25">
      <c r="B13" s="301" t="s">
        <v>14</v>
      </c>
      <c r="C13" s="304" t="s">
        <v>12</v>
      </c>
      <c r="D13" s="307">
        <v>1</v>
      </c>
      <c r="E13" s="19" t="s">
        <v>126</v>
      </c>
      <c r="F13" s="160"/>
      <c r="G13" s="160"/>
      <c r="H13" s="160"/>
      <c r="I13" s="160"/>
      <c r="J13" s="298">
        <v>1</v>
      </c>
      <c r="K13" s="164"/>
      <c r="L13" s="295"/>
      <c r="M13" s="295"/>
      <c r="N13" s="295"/>
      <c r="O13" s="164"/>
      <c r="P13" s="164"/>
      <c r="Q13" s="164"/>
      <c r="R13" s="295"/>
      <c r="S13" s="164"/>
      <c r="T13" s="164"/>
      <c r="U13" s="164"/>
      <c r="V13" s="164"/>
      <c r="W13" s="164"/>
      <c r="X13" s="164"/>
      <c r="Y13" s="165"/>
      <c r="Z13" s="165"/>
      <c r="AA13" s="27"/>
      <c r="AB13" s="185"/>
      <c r="AC13" s="185"/>
      <c r="AD13" s="184">
        <f t="shared" si="0"/>
        <v>0</v>
      </c>
      <c r="AE13" s="185"/>
      <c r="AF13" s="187"/>
      <c r="AG13" s="187"/>
      <c r="AH13" s="187"/>
      <c r="AI13" s="187"/>
      <c r="AJ13" s="57"/>
      <c r="AK13" s="57"/>
      <c r="AL13" s="57"/>
      <c r="AM13" s="57"/>
      <c r="AN13" s="28"/>
      <c r="AO13" s="28"/>
      <c r="AP13" s="28"/>
      <c r="AQ13" s="28"/>
      <c r="AR13" s="27"/>
      <c r="AS13" s="27"/>
      <c r="AT13" s="27"/>
      <c r="AU13" s="105"/>
      <c r="AV13" s="323"/>
      <c r="AW13" s="323"/>
      <c r="AX13" s="105"/>
      <c r="AY13" s="105"/>
      <c r="AZ13" s="105"/>
      <c r="BA13" s="187"/>
      <c r="BB13" s="187"/>
      <c r="BC13" s="187"/>
      <c r="BD13" s="191"/>
      <c r="BE13" s="105"/>
      <c r="BF13" s="105"/>
      <c r="BG13" s="84"/>
      <c r="BH13" s="84"/>
      <c r="BI13" s="84"/>
      <c r="BJ13" s="84"/>
      <c r="BK13" s="84"/>
      <c r="BL13" s="84"/>
      <c r="BM13" s="84"/>
      <c r="BN13" s="335"/>
      <c r="BO13" s="195"/>
      <c r="BP13" s="195"/>
      <c r="BQ13" s="195"/>
      <c r="BR13" s="195"/>
      <c r="BS13" s="198"/>
      <c r="BT13" s="198"/>
      <c r="BU13" s="198"/>
      <c r="BV13" s="198"/>
      <c r="BW13" s="201"/>
      <c r="BX13" s="201"/>
      <c r="BY13" s="201"/>
      <c r="BZ13" s="201"/>
      <c r="CA13" s="204"/>
      <c r="CB13" s="204"/>
      <c r="CC13" s="204"/>
      <c r="CD13" s="204"/>
      <c r="CE13" s="84"/>
      <c r="CF13" s="84"/>
      <c r="CG13" s="84"/>
      <c r="CH13" s="84"/>
      <c r="CI13" s="84"/>
      <c r="CJ13" s="84"/>
      <c r="CK13" s="84"/>
      <c r="CL13" s="84"/>
      <c r="CM13" s="292"/>
      <c r="CN13" s="182"/>
      <c r="CO13" s="182"/>
      <c r="CP13" s="182"/>
      <c r="CQ13" s="182"/>
      <c r="CR13" s="182"/>
      <c r="CS13" s="182"/>
      <c r="CT13" s="3"/>
      <c r="CU13" s="3"/>
      <c r="CV13" s="1"/>
    </row>
    <row r="14" spans="1:100" x14ac:dyDescent="0.25">
      <c r="B14" s="302"/>
      <c r="C14" s="305"/>
      <c r="D14" s="308"/>
      <c r="E14" s="19" t="s">
        <v>119</v>
      </c>
      <c r="F14" s="160"/>
      <c r="G14" s="160"/>
      <c r="H14" s="160"/>
      <c r="I14" s="160"/>
      <c r="J14" s="299"/>
      <c r="K14" s="164"/>
      <c r="L14" s="296"/>
      <c r="M14" s="296"/>
      <c r="N14" s="296"/>
      <c r="O14" s="164"/>
      <c r="P14" s="164"/>
      <c r="Q14" s="164"/>
      <c r="R14" s="296"/>
      <c r="S14" s="164"/>
      <c r="T14" s="164"/>
      <c r="U14" s="164"/>
      <c r="V14" s="164"/>
      <c r="W14" s="164"/>
      <c r="X14" s="164"/>
      <c r="Y14" s="165"/>
      <c r="Z14" s="165"/>
      <c r="AA14" s="27"/>
      <c r="AB14" s="185"/>
      <c r="AC14" s="185"/>
      <c r="AD14" s="184">
        <f t="shared" si="0"/>
        <v>0</v>
      </c>
      <c r="AE14" s="185"/>
      <c r="AF14" s="187"/>
      <c r="AG14" s="187"/>
      <c r="AH14" s="187"/>
      <c r="AI14" s="187"/>
      <c r="AJ14" s="57"/>
      <c r="AK14" s="57"/>
      <c r="AL14" s="57"/>
      <c r="AM14" s="57"/>
      <c r="AN14" s="28"/>
      <c r="AO14" s="28"/>
      <c r="AP14" s="28"/>
      <c r="AQ14" s="28"/>
      <c r="AR14" s="27"/>
      <c r="AS14" s="27"/>
      <c r="AT14" s="27"/>
      <c r="AU14" s="105"/>
      <c r="AV14" s="324"/>
      <c r="AW14" s="324"/>
      <c r="AX14" s="105"/>
      <c r="AY14" s="105"/>
      <c r="AZ14" s="105"/>
      <c r="BA14" s="187"/>
      <c r="BB14" s="187"/>
      <c r="BC14" s="187"/>
      <c r="BD14" s="191"/>
      <c r="BE14" s="105"/>
      <c r="BF14" s="105"/>
      <c r="BG14" s="84"/>
      <c r="BH14" s="84"/>
      <c r="BI14" s="84"/>
      <c r="BJ14" s="84"/>
      <c r="BK14" s="84"/>
      <c r="BL14" s="84"/>
      <c r="BM14" s="84"/>
      <c r="BN14" s="333"/>
      <c r="BO14" s="195"/>
      <c r="BP14" s="195"/>
      <c r="BQ14" s="195"/>
      <c r="BR14" s="195"/>
      <c r="BS14" s="198"/>
      <c r="BT14" s="198"/>
      <c r="BU14" s="198"/>
      <c r="BV14" s="198"/>
      <c r="BW14" s="201"/>
      <c r="BX14" s="201"/>
      <c r="BY14" s="201"/>
      <c r="BZ14" s="201"/>
      <c r="CA14" s="204"/>
      <c r="CB14" s="204"/>
      <c r="CC14" s="204"/>
      <c r="CD14" s="204"/>
      <c r="CE14" s="84"/>
      <c r="CF14" s="84"/>
      <c r="CG14" s="84"/>
      <c r="CH14" s="84"/>
      <c r="CI14" s="84"/>
      <c r="CJ14" s="84"/>
      <c r="CK14" s="84"/>
      <c r="CL14" s="84"/>
      <c r="CM14" s="293"/>
      <c r="CN14" s="182"/>
      <c r="CO14" s="182"/>
      <c r="CP14" s="182"/>
      <c r="CQ14" s="182"/>
      <c r="CR14" s="182"/>
      <c r="CS14" s="182"/>
      <c r="CT14" s="3"/>
      <c r="CU14" s="3"/>
      <c r="CV14" s="1"/>
    </row>
    <row r="15" spans="1:100" x14ac:dyDescent="0.25">
      <c r="B15" s="302"/>
      <c r="C15" s="305"/>
      <c r="D15" s="308"/>
      <c r="E15" s="19" t="s">
        <v>122</v>
      </c>
      <c r="F15" s="160"/>
      <c r="G15" s="160"/>
      <c r="H15" s="160"/>
      <c r="I15" s="160"/>
      <c r="J15" s="299"/>
      <c r="K15" s="164"/>
      <c r="L15" s="296"/>
      <c r="M15" s="296"/>
      <c r="N15" s="296"/>
      <c r="O15" s="164"/>
      <c r="P15" s="164"/>
      <c r="Q15" s="164"/>
      <c r="R15" s="296"/>
      <c r="S15" s="164"/>
      <c r="T15" s="164"/>
      <c r="U15" s="164"/>
      <c r="V15" s="164"/>
      <c r="W15" s="164"/>
      <c r="X15" s="164"/>
      <c r="Y15" s="165"/>
      <c r="Z15" s="165"/>
      <c r="AA15" s="27"/>
      <c r="AB15" s="185"/>
      <c r="AC15" s="185"/>
      <c r="AD15" s="184">
        <f t="shared" si="0"/>
        <v>0</v>
      </c>
      <c r="AE15" s="185"/>
      <c r="AF15" s="187"/>
      <c r="AG15" s="187"/>
      <c r="AH15" s="187"/>
      <c r="AI15" s="187"/>
      <c r="AJ15" s="57"/>
      <c r="AK15" s="57"/>
      <c r="AL15" s="57"/>
      <c r="AM15" s="57"/>
      <c r="AN15" s="28"/>
      <c r="AO15" s="28"/>
      <c r="AP15" s="28"/>
      <c r="AQ15" s="28"/>
      <c r="AR15" s="27"/>
      <c r="AS15" s="27"/>
      <c r="AT15" s="27"/>
      <c r="AU15" s="105"/>
      <c r="AV15" s="324"/>
      <c r="AW15" s="324"/>
      <c r="AX15" s="105"/>
      <c r="AY15" s="105"/>
      <c r="AZ15" s="105"/>
      <c r="BA15" s="187"/>
      <c r="BB15" s="187"/>
      <c r="BC15" s="187"/>
      <c r="BD15" s="191"/>
      <c r="BE15" s="105"/>
      <c r="BF15" s="105"/>
      <c r="BG15" s="84"/>
      <c r="BH15" s="84"/>
      <c r="BI15" s="84"/>
      <c r="BJ15" s="84"/>
      <c r="BK15" s="84"/>
      <c r="BL15" s="84"/>
      <c r="BM15" s="84"/>
      <c r="BN15" s="333"/>
      <c r="BO15" s="195"/>
      <c r="BP15" s="195"/>
      <c r="BQ15" s="195"/>
      <c r="BR15" s="195"/>
      <c r="BS15" s="198"/>
      <c r="BT15" s="198"/>
      <c r="BU15" s="198"/>
      <c r="BV15" s="198"/>
      <c r="BW15" s="201"/>
      <c r="BX15" s="201"/>
      <c r="BY15" s="201"/>
      <c r="BZ15" s="201"/>
      <c r="CA15" s="204"/>
      <c r="CB15" s="204"/>
      <c r="CC15" s="204"/>
      <c r="CD15" s="204"/>
      <c r="CE15" s="84"/>
      <c r="CF15" s="84"/>
      <c r="CG15" s="84"/>
      <c r="CH15" s="84"/>
      <c r="CI15" s="84"/>
      <c r="CJ15" s="84"/>
      <c r="CK15" s="84"/>
      <c r="CL15" s="84"/>
      <c r="CM15" s="293"/>
      <c r="CN15" s="182"/>
      <c r="CO15" s="182"/>
      <c r="CP15" s="182"/>
      <c r="CQ15" s="182"/>
      <c r="CR15" s="182"/>
      <c r="CS15" s="182"/>
      <c r="CT15" s="3"/>
      <c r="CU15" s="3"/>
      <c r="CV15" s="1"/>
    </row>
    <row r="16" spans="1:100" x14ac:dyDescent="0.25">
      <c r="A16" t="s">
        <v>93</v>
      </c>
      <c r="B16" s="303"/>
      <c r="C16" s="306"/>
      <c r="D16" s="309"/>
      <c r="E16" s="19" t="s">
        <v>117</v>
      </c>
      <c r="F16" s="160"/>
      <c r="G16" s="160"/>
      <c r="H16" s="160"/>
      <c r="I16" s="160"/>
      <c r="J16" s="300"/>
      <c r="K16" s="164"/>
      <c r="L16" s="297"/>
      <c r="M16" s="297"/>
      <c r="N16" s="297"/>
      <c r="O16" s="164"/>
      <c r="P16" s="164"/>
      <c r="Q16" s="164"/>
      <c r="R16" s="297"/>
      <c r="S16" s="164"/>
      <c r="T16" s="164"/>
      <c r="U16" s="164"/>
      <c r="V16" s="164"/>
      <c r="W16" s="164"/>
      <c r="X16" s="164"/>
      <c r="Y16" s="165">
        <v>1</v>
      </c>
      <c r="Z16" s="165"/>
      <c r="AA16" s="27"/>
      <c r="AB16" s="185"/>
      <c r="AC16" s="185"/>
      <c r="AD16" s="184">
        <f t="shared" si="0"/>
        <v>0</v>
      </c>
      <c r="AE16" s="185"/>
      <c r="AF16" s="187"/>
      <c r="AG16" s="187"/>
      <c r="AH16" s="187"/>
      <c r="AI16" s="187"/>
      <c r="AJ16" s="57"/>
      <c r="AK16" s="57"/>
      <c r="AL16" s="57"/>
      <c r="AM16" s="57"/>
      <c r="AN16" s="28"/>
      <c r="AO16" s="28"/>
      <c r="AP16" s="28"/>
      <c r="AQ16" s="28"/>
      <c r="AR16" s="27">
        <v>1</v>
      </c>
      <c r="AS16" s="27"/>
      <c r="AT16" s="27"/>
      <c r="AU16" s="105"/>
      <c r="AV16" s="325"/>
      <c r="AW16" s="325"/>
      <c r="AX16" s="105"/>
      <c r="AY16" s="105"/>
      <c r="AZ16" s="105"/>
      <c r="BA16" s="187"/>
      <c r="BB16" s="187"/>
      <c r="BC16" s="187"/>
      <c r="BD16" s="191"/>
      <c r="BE16" s="105">
        <v>1</v>
      </c>
      <c r="BF16" s="105"/>
      <c r="BG16" s="84"/>
      <c r="BH16" s="84"/>
      <c r="BI16" s="84"/>
      <c r="BJ16" s="84"/>
      <c r="BK16" s="84"/>
      <c r="BL16" s="84"/>
      <c r="BM16" s="84"/>
      <c r="BN16" s="334"/>
      <c r="BO16" s="195"/>
      <c r="BP16" s="195"/>
      <c r="BQ16" s="195"/>
      <c r="BR16" s="195"/>
      <c r="BS16" s="198"/>
      <c r="BT16" s="198"/>
      <c r="BU16" s="198"/>
      <c r="BV16" s="198"/>
      <c r="BW16" s="201"/>
      <c r="BX16" s="201"/>
      <c r="BY16" s="201"/>
      <c r="BZ16" s="201"/>
      <c r="CA16" s="204"/>
      <c r="CB16" s="204"/>
      <c r="CC16" s="204"/>
      <c r="CD16" s="204"/>
      <c r="CE16" s="84"/>
      <c r="CF16" s="84"/>
      <c r="CG16" s="84"/>
      <c r="CH16" s="84"/>
      <c r="CI16" s="84"/>
      <c r="CJ16" s="84"/>
      <c r="CK16" s="84">
        <v>1</v>
      </c>
      <c r="CL16" s="84"/>
      <c r="CM16" s="294"/>
      <c r="CN16" s="182"/>
      <c r="CO16" s="156"/>
      <c r="CP16" s="182"/>
      <c r="CQ16" s="182"/>
      <c r="CR16" s="182">
        <v>1</v>
      </c>
      <c r="CS16" s="182"/>
      <c r="CT16" s="3">
        <f>SUMPRODUCT(Y$2:CS$2,Y16:CS16)</f>
        <v>1</v>
      </c>
      <c r="CU16" s="3"/>
      <c r="CV16" s="1"/>
    </row>
    <row r="17" spans="1:100" x14ac:dyDescent="0.25">
      <c r="B17" s="301" t="s">
        <v>14</v>
      </c>
      <c r="C17" s="304" t="s">
        <v>12</v>
      </c>
      <c r="D17" s="307">
        <v>1</v>
      </c>
      <c r="E17" s="19" t="s">
        <v>126</v>
      </c>
      <c r="F17" s="160"/>
      <c r="G17" s="160"/>
      <c r="H17" s="160"/>
      <c r="I17" s="160"/>
      <c r="J17" s="298"/>
      <c r="K17" s="164"/>
      <c r="L17" s="295"/>
      <c r="M17" s="295"/>
      <c r="N17" s="295"/>
      <c r="O17" s="164"/>
      <c r="P17" s="164"/>
      <c r="Q17" s="164"/>
      <c r="R17" s="295"/>
      <c r="S17" s="164"/>
      <c r="T17" s="164"/>
      <c r="U17" s="164"/>
      <c r="V17" s="164"/>
      <c r="W17" s="164"/>
      <c r="X17" s="164"/>
      <c r="Y17" s="165"/>
      <c r="Z17" s="165"/>
      <c r="AA17" s="27"/>
      <c r="AB17" s="185"/>
      <c r="AC17" s="185"/>
      <c r="AD17" s="184">
        <f t="shared" si="0"/>
        <v>0</v>
      </c>
      <c r="AE17" s="185"/>
      <c r="AF17" s="187"/>
      <c r="AG17" s="187"/>
      <c r="AH17" s="187"/>
      <c r="AI17" s="187"/>
      <c r="AJ17" s="57"/>
      <c r="AK17" s="57"/>
      <c r="AL17" s="57"/>
      <c r="AM17" s="57"/>
      <c r="AN17" s="28"/>
      <c r="AO17" s="28"/>
      <c r="AP17" s="28"/>
      <c r="AQ17" s="28"/>
      <c r="AR17" s="27"/>
      <c r="AS17" s="27"/>
      <c r="AT17" s="27"/>
      <c r="AU17" s="105"/>
      <c r="AV17" s="323"/>
      <c r="AW17" s="323"/>
      <c r="AX17" s="105"/>
      <c r="AY17" s="105"/>
      <c r="AZ17" s="105"/>
      <c r="BA17" s="187"/>
      <c r="BB17" s="187"/>
      <c r="BC17" s="187"/>
      <c r="BD17" s="191"/>
      <c r="BE17" s="105"/>
      <c r="BF17" s="105"/>
      <c r="BG17" s="84"/>
      <c r="BH17" s="84"/>
      <c r="BI17" s="84"/>
      <c r="BJ17" s="84"/>
      <c r="BK17" s="84"/>
      <c r="BL17" s="84"/>
      <c r="BM17" s="84"/>
      <c r="BN17" s="335"/>
      <c r="BO17" s="195"/>
      <c r="BP17" s="195"/>
      <c r="BQ17" s="195"/>
      <c r="BR17" s="195"/>
      <c r="BS17" s="198"/>
      <c r="BT17" s="198"/>
      <c r="BU17" s="198"/>
      <c r="BV17" s="198"/>
      <c r="BW17" s="201"/>
      <c r="BX17" s="201"/>
      <c r="BY17" s="201"/>
      <c r="BZ17" s="201"/>
      <c r="CA17" s="204"/>
      <c r="CB17" s="204"/>
      <c r="CC17" s="204"/>
      <c r="CD17" s="204"/>
      <c r="CE17" s="84"/>
      <c r="CF17" s="84"/>
      <c r="CG17" s="84"/>
      <c r="CH17" s="84"/>
      <c r="CI17" s="84"/>
      <c r="CJ17" s="84"/>
      <c r="CK17" s="84"/>
      <c r="CL17" s="84"/>
      <c r="CM17" s="292"/>
      <c r="CN17" s="182"/>
      <c r="CO17" s="156"/>
      <c r="CP17" s="182"/>
      <c r="CQ17" s="182"/>
      <c r="CR17" s="182"/>
      <c r="CS17" s="182"/>
      <c r="CT17" s="3"/>
      <c r="CU17" s="3"/>
      <c r="CV17" s="1"/>
    </row>
    <row r="18" spans="1:100" x14ac:dyDescent="0.25">
      <c r="B18" s="302"/>
      <c r="C18" s="305"/>
      <c r="D18" s="308"/>
      <c r="E18" s="19" t="s">
        <v>119</v>
      </c>
      <c r="F18" s="160"/>
      <c r="G18" s="160"/>
      <c r="H18" s="160"/>
      <c r="I18" s="160"/>
      <c r="J18" s="299"/>
      <c r="K18" s="164"/>
      <c r="L18" s="296"/>
      <c r="M18" s="296"/>
      <c r="N18" s="296"/>
      <c r="O18" s="164"/>
      <c r="P18" s="164"/>
      <c r="Q18" s="164"/>
      <c r="R18" s="296"/>
      <c r="S18" s="164"/>
      <c r="T18" s="164"/>
      <c r="U18" s="164"/>
      <c r="V18" s="164"/>
      <c r="W18" s="164"/>
      <c r="X18" s="164"/>
      <c r="Y18" s="165"/>
      <c r="Z18" s="165"/>
      <c r="AA18" s="27"/>
      <c r="AB18" s="185"/>
      <c r="AC18" s="185"/>
      <c r="AD18" s="184">
        <f t="shared" si="0"/>
        <v>0</v>
      </c>
      <c r="AE18" s="185"/>
      <c r="AF18" s="187"/>
      <c r="AG18" s="187"/>
      <c r="AH18" s="187"/>
      <c r="AI18" s="187"/>
      <c r="AJ18" s="57"/>
      <c r="AK18" s="57"/>
      <c r="AL18" s="57"/>
      <c r="AM18" s="57"/>
      <c r="AN18" s="28"/>
      <c r="AO18" s="28"/>
      <c r="AP18" s="28"/>
      <c r="AQ18" s="28"/>
      <c r="AR18" s="27"/>
      <c r="AS18" s="27"/>
      <c r="AT18" s="27"/>
      <c r="AU18" s="105"/>
      <c r="AV18" s="324"/>
      <c r="AW18" s="324"/>
      <c r="AX18" s="105"/>
      <c r="AY18" s="105"/>
      <c r="AZ18" s="105"/>
      <c r="BA18" s="187"/>
      <c r="BB18" s="187"/>
      <c r="BC18" s="187"/>
      <c r="BD18" s="191"/>
      <c r="BE18" s="105"/>
      <c r="BF18" s="105"/>
      <c r="BG18" s="84"/>
      <c r="BH18" s="84"/>
      <c r="BI18" s="84"/>
      <c r="BJ18" s="84"/>
      <c r="BK18" s="84"/>
      <c r="BL18" s="84"/>
      <c r="BM18" s="84"/>
      <c r="BN18" s="333"/>
      <c r="BO18" s="195"/>
      <c r="BP18" s="195"/>
      <c r="BQ18" s="195"/>
      <c r="BR18" s="195"/>
      <c r="BS18" s="198"/>
      <c r="BT18" s="198"/>
      <c r="BU18" s="198"/>
      <c r="BV18" s="198"/>
      <c r="BW18" s="201"/>
      <c r="BX18" s="201"/>
      <c r="BY18" s="201"/>
      <c r="BZ18" s="201"/>
      <c r="CA18" s="204"/>
      <c r="CB18" s="204"/>
      <c r="CC18" s="204"/>
      <c r="CD18" s="204"/>
      <c r="CE18" s="84"/>
      <c r="CF18" s="84"/>
      <c r="CG18" s="84"/>
      <c r="CH18" s="84"/>
      <c r="CI18" s="84"/>
      <c r="CJ18" s="84"/>
      <c r="CK18" s="84"/>
      <c r="CL18" s="84"/>
      <c r="CM18" s="293"/>
      <c r="CN18" s="182"/>
      <c r="CO18" s="156"/>
      <c r="CP18" s="182"/>
      <c r="CQ18" s="182"/>
      <c r="CR18" s="182"/>
      <c r="CS18" s="182"/>
      <c r="CT18" s="3"/>
      <c r="CU18" s="3"/>
      <c r="CV18" s="1"/>
    </row>
    <row r="19" spans="1:100" x14ac:dyDescent="0.25">
      <c r="B19" s="302"/>
      <c r="C19" s="305"/>
      <c r="D19" s="308"/>
      <c r="E19" s="19" t="s">
        <v>122</v>
      </c>
      <c r="F19" s="160"/>
      <c r="G19" s="160"/>
      <c r="H19" s="160"/>
      <c r="I19" s="160"/>
      <c r="J19" s="299"/>
      <c r="K19" s="164"/>
      <c r="L19" s="296"/>
      <c r="M19" s="296"/>
      <c r="N19" s="296"/>
      <c r="O19" s="164"/>
      <c r="P19" s="164"/>
      <c r="Q19" s="164"/>
      <c r="R19" s="296"/>
      <c r="S19" s="164"/>
      <c r="T19" s="164"/>
      <c r="U19" s="164"/>
      <c r="V19" s="164"/>
      <c r="W19" s="164"/>
      <c r="X19" s="164"/>
      <c r="Y19" s="165"/>
      <c r="Z19" s="165"/>
      <c r="AA19" s="27"/>
      <c r="AB19" s="185"/>
      <c r="AC19" s="185"/>
      <c r="AD19" s="184">
        <f t="shared" si="0"/>
        <v>0</v>
      </c>
      <c r="AE19" s="185"/>
      <c r="AF19" s="187"/>
      <c r="AG19" s="187"/>
      <c r="AH19" s="187"/>
      <c r="AI19" s="187"/>
      <c r="AJ19" s="57"/>
      <c r="AK19" s="57"/>
      <c r="AL19" s="57"/>
      <c r="AM19" s="57"/>
      <c r="AN19" s="28"/>
      <c r="AO19" s="28"/>
      <c r="AP19" s="28"/>
      <c r="AQ19" s="28"/>
      <c r="AR19" s="27"/>
      <c r="AS19" s="27"/>
      <c r="AT19" s="27"/>
      <c r="AU19" s="105"/>
      <c r="AV19" s="324"/>
      <c r="AW19" s="324"/>
      <c r="AX19" s="105"/>
      <c r="AY19" s="105"/>
      <c r="AZ19" s="105"/>
      <c r="BA19" s="187"/>
      <c r="BB19" s="187"/>
      <c r="BC19" s="187"/>
      <c r="BD19" s="191"/>
      <c r="BE19" s="105"/>
      <c r="BF19" s="105"/>
      <c r="BG19" s="84"/>
      <c r="BH19" s="84"/>
      <c r="BI19" s="84"/>
      <c r="BJ19" s="84"/>
      <c r="BK19" s="84"/>
      <c r="BL19" s="84"/>
      <c r="BM19" s="84"/>
      <c r="BN19" s="333"/>
      <c r="BO19" s="195"/>
      <c r="BP19" s="195"/>
      <c r="BQ19" s="195"/>
      <c r="BR19" s="195"/>
      <c r="BS19" s="198"/>
      <c r="BT19" s="198"/>
      <c r="BU19" s="198"/>
      <c r="BV19" s="198"/>
      <c r="BW19" s="201"/>
      <c r="BX19" s="201"/>
      <c r="BY19" s="201"/>
      <c r="BZ19" s="201"/>
      <c r="CA19" s="204"/>
      <c r="CB19" s="204"/>
      <c r="CC19" s="204"/>
      <c r="CD19" s="204"/>
      <c r="CE19" s="84"/>
      <c r="CF19" s="84"/>
      <c r="CG19" s="84"/>
      <c r="CH19" s="84"/>
      <c r="CI19" s="84"/>
      <c r="CJ19" s="84"/>
      <c r="CK19" s="84"/>
      <c r="CL19" s="84"/>
      <c r="CM19" s="293"/>
      <c r="CN19" s="182"/>
      <c r="CO19" s="156"/>
      <c r="CP19" s="182"/>
      <c r="CQ19" s="182"/>
      <c r="CR19" s="182"/>
      <c r="CS19" s="182"/>
      <c r="CT19" s="3"/>
      <c r="CU19" s="3"/>
      <c r="CV19" s="1"/>
    </row>
    <row r="20" spans="1:100" x14ac:dyDescent="0.25">
      <c r="B20" s="303"/>
      <c r="C20" s="306"/>
      <c r="D20" s="309"/>
      <c r="E20" s="19" t="s">
        <v>117</v>
      </c>
      <c r="F20" s="160"/>
      <c r="G20" s="160"/>
      <c r="H20" s="160"/>
      <c r="I20" s="160"/>
      <c r="J20" s="300"/>
      <c r="K20" s="164"/>
      <c r="L20" s="297"/>
      <c r="M20" s="297"/>
      <c r="N20" s="297"/>
      <c r="O20" s="164"/>
      <c r="P20" s="164"/>
      <c r="Q20" s="164"/>
      <c r="R20" s="297"/>
      <c r="S20" s="164"/>
      <c r="T20" s="164"/>
      <c r="U20" s="164"/>
      <c r="V20" s="164"/>
      <c r="W20" s="164"/>
      <c r="X20" s="164"/>
      <c r="Y20" s="165"/>
      <c r="Z20" s="165"/>
      <c r="AA20" s="27"/>
      <c r="AB20" s="185"/>
      <c r="AC20" s="185"/>
      <c r="AD20" s="184">
        <f t="shared" si="0"/>
        <v>0</v>
      </c>
      <c r="AE20" s="185"/>
      <c r="AF20" s="187"/>
      <c r="AG20" s="187"/>
      <c r="AH20" s="187"/>
      <c r="AI20" s="187"/>
      <c r="AJ20" s="57"/>
      <c r="AK20" s="57"/>
      <c r="AL20" s="57"/>
      <c r="AM20" s="57"/>
      <c r="AN20" s="28"/>
      <c r="AO20" s="28"/>
      <c r="AP20" s="28"/>
      <c r="AQ20" s="28"/>
      <c r="AR20" s="27"/>
      <c r="AS20" s="27"/>
      <c r="AT20" s="27"/>
      <c r="AU20" s="105"/>
      <c r="AV20" s="325"/>
      <c r="AW20" s="325"/>
      <c r="AX20" s="105"/>
      <c r="AY20" s="105"/>
      <c r="AZ20" s="105"/>
      <c r="BA20" s="187"/>
      <c r="BB20" s="187"/>
      <c r="BC20" s="187"/>
      <c r="BD20" s="191"/>
      <c r="BE20" s="105"/>
      <c r="BF20" s="105"/>
      <c r="BG20" s="84"/>
      <c r="BH20" s="84"/>
      <c r="BI20" s="84"/>
      <c r="BJ20" s="84"/>
      <c r="BK20" s="84"/>
      <c r="BL20" s="84"/>
      <c r="BM20" s="84"/>
      <c r="BN20" s="334"/>
      <c r="BO20" s="195"/>
      <c r="BP20" s="195"/>
      <c r="BQ20" s="195"/>
      <c r="BR20" s="195"/>
      <c r="BS20" s="198"/>
      <c r="BT20" s="198"/>
      <c r="BU20" s="198"/>
      <c r="BV20" s="198"/>
      <c r="BW20" s="201"/>
      <c r="BX20" s="201"/>
      <c r="BY20" s="201"/>
      <c r="BZ20" s="201"/>
      <c r="CA20" s="204"/>
      <c r="CB20" s="204"/>
      <c r="CC20" s="204"/>
      <c r="CD20" s="204"/>
      <c r="CE20" s="84"/>
      <c r="CF20" s="84"/>
      <c r="CG20" s="84"/>
      <c r="CH20" s="84"/>
      <c r="CI20" s="84"/>
      <c r="CJ20" s="84"/>
      <c r="CK20" s="84"/>
      <c r="CL20" s="84"/>
      <c r="CM20" s="294"/>
      <c r="CN20" s="182"/>
      <c r="CO20" s="156"/>
      <c r="CP20" s="182"/>
      <c r="CQ20" s="182"/>
      <c r="CR20" s="182"/>
      <c r="CS20" s="182"/>
      <c r="CT20" s="3"/>
      <c r="CU20" s="3"/>
      <c r="CV20" s="1"/>
    </row>
    <row r="21" spans="1:100" x14ac:dyDescent="0.25">
      <c r="B21" s="301" t="s">
        <v>14</v>
      </c>
      <c r="C21" s="304" t="s">
        <v>12</v>
      </c>
      <c r="D21" s="307">
        <v>1</v>
      </c>
      <c r="E21" s="19" t="s">
        <v>126</v>
      </c>
      <c r="F21" s="160"/>
      <c r="G21" s="160"/>
      <c r="H21" s="160"/>
      <c r="I21" s="160"/>
      <c r="J21" s="298"/>
      <c r="K21" s="164"/>
      <c r="L21" s="295"/>
      <c r="M21" s="295"/>
      <c r="N21" s="295"/>
      <c r="O21" s="164"/>
      <c r="P21" s="164"/>
      <c r="Q21" s="164"/>
      <c r="R21" s="295"/>
      <c r="S21" s="164"/>
      <c r="T21" s="164"/>
      <c r="U21" s="164"/>
      <c r="V21" s="164"/>
      <c r="W21" s="164"/>
      <c r="X21" s="164"/>
      <c r="Y21" s="165"/>
      <c r="Z21" s="165"/>
      <c r="AA21" s="27"/>
      <c r="AB21" s="185"/>
      <c r="AC21" s="185"/>
      <c r="AD21" s="184">
        <f t="shared" si="0"/>
        <v>0</v>
      </c>
      <c r="AE21" s="185"/>
      <c r="AF21" s="187"/>
      <c r="AG21" s="187"/>
      <c r="AH21" s="187"/>
      <c r="AI21" s="187"/>
      <c r="AJ21" s="57"/>
      <c r="AK21" s="57"/>
      <c r="AL21" s="57"/>
      <c r="AM21" s="57"/>
      <c r="AN21" s="28"/>
      <c r="AO21" s="28"/>
      <c r="AP21" s="28"/>
      <c r="AQ21" s="28"/>
      <c r="AR21" s="27"/>
      <c r="AS21" s="27"/>
      <c r="AT21" s="27"/>
      <c r="AU21" s="105"/>
      <c r="AV21" s="172"/>
      <c r="AW21" s="172"/>
      <c r="AX21" s="105"/>
      <c r="AY21" s="105"/>
      <c r="AZ21" s="105"/>
      <c r="BA21" s="187"/>
      <c r="BB21" s="187"/>
      <c r="BC21" s="187"/>
      <c r="BD21" s="191"/>
      <c r="BE21" s="105"/>
      <c r="BF21" s="105"/>
      <c r="BG21" s="84"/>
      <c r="BH21" s="84"/>
      <c r="BI21" s="84"/>
      <c r="BJ21" s="84"/>
      <c r="BK21" s="84"/>
      <c r="BL21" s="84"/>
      <c r="BM21" s="84"/>
      <c r="BN21" s="177"/>
      <c r="BO21" s="84"/>
      <c r="BP21" s="84"/>
      <c r="BQ21" s="84"/>
      <c r="BR21" s="84"/>
      <c r="BS21" s="84"/>
      <c r="BT21" s="84"/>
      <c r="BU21" s="84"/>
      <c r="BV21" s="84"/>
      <c r="BW21" s="84"/>
      <c r="BX21" s="84"/>
      <c r="BY21" s="84"/>
      <c r="BZ21" s="84"/>
      <c r="CA21" s="84"/>
      <c r="CB21" s="84"/>
      <c r="CC21" s="84"/>
      <c r="CD21" s="84"/>
      <c r="CE21" s="84"/>
      <c r="CF21" s="84"/>
      <c r="CG21" s="84"/>
      <c r="CH21" s="84"/>
      <c r="CI21" s="84"/>
      <c r="CJ21" s="84"/>
      <c r="CK21" s="84"/>
      <c r="CL21" s="84"/>
      <c r="CM21" s="292"/>
      <c r="CN21" s="182"/>
      <c r="CO21" s="156"/>
      <c r="CP21" s="182"/>
      <c r="CQ21" s="182"/>
      <c r="CR21" s="182"/>
      <c r="CS21" s="182"/>
      <c r="CT21" s="3"/>
      <c r="CU21" s="3"/>
      <c r="CV21" s="1"/>
    </row>
    <row r="22" spans="1:100" x14ac:dyDescent="0.25">
      <c r="B22" s="302"/>
      <c r="C22" s="305"/>
      <c r="D22" s="308"/>
      <c r="E22" s="19" t="s">
        <v>119</v>
      </c>
      <c r="F22" s="160"/>
      <c r="G22" s="160"/>
      <c r="H22" s="160"/>
      <c r="I22" s="160"/>
      <c r="J22" s="299"/>
      <c r="K22" s="164"/>
      <c r="L22" s="296"/>
      <c r="M22" s="296"/>
      <c r="N22" s="296"/>
      <c r="O22" s="164"/>
      <c r="P22" s="164"/>
      <c r="Q22" s="164"/>
      <c r="R22" s="296"/>
      <c r="S22" s="164"/>
      <c r="T22" s="164"/>
      <c r="U22" s="164"/>
      <c r="V22" s="164"/>
      <c r="W22" s="164"/>
      <c r="X22" s="164"/>
      <c r="Y22" s="165"/>
      <c r="Z22" s="165"/>
      <c r="AA22" s="27"/>
      <c r="AB22" s="185"/>
      <c r="AC22" s="185"/>
      <c r="AD22" s="184">
        <f t="shared" si="0"/>
        <v>0</v>
      </c>
      <c r="AE22" s="185"/>
      <c r="AF22" s="187"/>
      <c r="AG22" s="187"/>
      <c r="AH22" s="187"/>
      <c r="AI22" s="187"/>
      <c r="AJ22" s="57"/>
      <c r="AK22" s="57"/>
      <c r="AL22" s="57"/>
      <c r="AM22" s="57"/>
      <c r="AN22" s="28"/>
      <c r="AO22" s="28"/>
      <c r="AP22" s="28"/>
      <c r="AQ22" s="28"/>
      <c r="AR22" s="27"/>
      <c r="AS22" s="27"/>
      <c r="AT22" s="27"/>
      <c r="AU22" s="105"/>
      <c r="AV22" s="172"/>
      <c r="AW22" s="172"/>
      <c r="AX22" s="105"/>
      <c r="AY22" s="105"/>
      <c r="AZ22" s="105"/>
      <c r="BA22" s="187"/>
      <c r="BB22" s="187"/>
      <c r="BC22" s="187"/>
      <c r="BD22" s="191"/>
      <c r="BE22" s="105"/>
      <c r="BF22" s="105"/>
      <c r="BG22" s="84"/>
      <c r="BH22" s="84"/>
      <c r="BI22" s="84"/>
      <c r="BJ22" s="84"/>
      <c r="BK22" s="84"/>
      <c r="BL22" s="84"/>
      <c r="BM22" s="84"/>
      <c r="BN22" s="177"/>
      <c r="BO22" s="84"/>
      <c r="BP22" s="84"/>
      <c r="BQ22" s="84"/>
      <c r="BR22" s="84"/>
      <c r="BS22" s="84"/>
      <c r="BT22" s="84"/>
      <c r="BU22" s="84"/>
      <c r="BV22" s="84"/>
      <c r="BW22" s="84"/>
      <c r="BX22" s="84"/>
      <c r="BY22" s="84"/>
      <c r="BZ22" s="84"/>
      <c r="CA22" s="84"/>
      <c r="CB22" s="84"/>
      <c r="CC22" s="84"/>
      <c r="CD22" s="84"/>
      <c r="CE22" s="84"/>
      <c r="CF22" s="84"/>
      <c r="CG22" s="84"/>
      <c r="CH22" s="84"/>
      <c r="CI22" s="84"/>
      <c r="CJ22" s="84"/>
      <c r="CK22" s="84"/>
      <c r="CL22" s="84"/>
      <c r="CM22" s="293"/>
      <c r="CN22" s="182"/>
      <c r="CO22" s="156"/>
      <c r="CP22" s="182"/>
      <c r="CQ22" s="182"/>
      <c r="CR22" s="182"/>
      <c r="CS22" s="182"/>
      <c r="CT22" s="3"/>
      <c r="CU22" s="3"/>
      <c r="CV22" s="1"/>
    </row>
    <row r="23" spans="1:100" x14ac:dyDescent="0.25">
      <c r="B23" s="302"/>
      <c r="C23" s="305"/>
      <c r="D23" s="308"/>
      <c r="E23" s="19" t="s">
        <v>122</v>
      </c>
      <c r="F23" s="160"/>
      <c r="G23" s="160"/>
      <c r="H23" s="160"/>
      <c r="I23" s="160"/>
      <c r="J23" s="299"/>
      <c r="K23" s="164"/>
      <c r="L23" s="296"/>
      <c r="M23" s="296"/>
      <c r="N23" s="296"/>
      <c r="O23" s="164"/>
      <c r="P23" s="164"/>
      <c r="Q23" s="164"/>
      <c r="R23" s="296"/>
      <c r="S23" s="164"/>
      <c r="T23" s="164"/>
      <c r="U23" s="164"/>
      <c r="V23" s="164"/>
      <c r="W23" s="164"/>
      <c r="X23" s="164"/>
      <c r="Y23" s="165"/>
      <c r="Z23" s="165"/>
      <c r="AA23" s="27"/>
      <c r="AB23" s="185"/>
      <c r="AC23" s="185"/>
      <c r="AD23" s="184">
        <f t="shared" si="0"/>
        <v>0</v>
      </c>
      <c r="AE23" s="185"/>
      <c r="AF23" s="187"/>
      <c r="AG23" s="187"/>
      <c r="AH23" s="187"/>
      <c r="AI23" s="187"/>
      <c r="AJ23" s="57"/>
      <c r="AK23" s="57"/>
      <c r="AL23" s="57"/>
      <c r="AM23" s="57"/>
      <c r="AN23" s="28"/>
      <c r="AO23" s="28"/>
      <c r="AP23" s="28"/>
      <c r="AQ23" s="28"/>
      <c r="AR23" s="27"/>
      <c r="AS23" s="27"/>
      <c r="AT23" s="27"/>
      <c r="AU23" s="105"/>
      <c r="AV23" s="172"/>
      <c r="AW23" s="172"/>
      <c r="AX23" s="105"/>
      <c r="AY23" s="105"/>
      <c r="AZ23" s="105"/>
      <c r="BA23" s="187"/>
      <c r="BB23" s="187"/>
      <c r="BC23" s="187"/>
      <c r="BD23" s="191"/>
      <c r="BE23" s="105"/>
      <c r="BF23" s="105"/>
      <c r="BG23" s="84"/>
      <c r="BH23" s="84"/>
      <c r="BI23" s="84"/>
      <c r="BJ23" s="84"/>
      <c r="BK23" s="84"/>
      <c r="BL23" s="84"/>
      <c r="BM23" s="84"/>
      <c r="BN23" s="177"/>
      <c r="BO23" s="84"/>
      <c r="BP23" s="84"/>
      <c r="BQ23" s="84"/>
      <c r="BR23" s="84"/>
      <c r="BS23" s="84"/>
      <c r="BT23" s="84"/>
      <c r="BU23" s="84"/>
      <c r="BV23" s="84"/>
      <c r="BW23" s="84"/>
      <c r="BX23" s="84"/>
      <c r="BY23" s="84"/>
      <c r="BZ23" s="84"/>
      <c r="CA23" s="84"/>
      <c r="CB23" s="84"/>
      <c r="CC23" s="84"/>
      <c r="CD23" s="84"/>
      <c r="CE23" s="84"/>
      <c r="CF23" s="84"/>
      <c r="CG23" s="84"/>
      <c r="CH23" s="84"/>
      <c r="CI23" s="84"/>
      <c r="CJ23" s="84"/>
      <c r="CK23" s="84"/>
      <c r="CL23" s="84"/>
      <c r="CM23" s="293"/>
      <c r="CN23" s="182"/>
      <c r="CO23" s="156"/>
      <c r="CP23" s="182"/>
      <c r="CQ23" s="182"/>
      <c r="CR23" s="182"/>
      <c r="CS23" s="182"/>
      <c r="CT23" s="3"/>
      <c r="CU23" s="3"/>
      <c r="CV23" s="1"/>
    </row>
    <row r="24" spans="1:100" x14ac:dyDescent="0.25">
      <c r="B24" s="303"/>
      <c r="C24" s="306"/>
      <c r="D24" s="309"/>
      <c r="E24" s="19" t="s">
        <v>117</v>
      </c>
      <c r="F24" s="160"/>
      <c r="G24" s="160"/>
      <c r="H24" s="160"/>
      <c r="I24" s="160"/>
      <c r="J24" s="300"/>
      <c r="K24" s="164"/>
      <c r="L24" s="297"/>
      <c r="M24" s="297"/>
      <c r="N24" s="297"/>
      <c r="O24" s="164"/>
      <c r="P24" s="164"/>
      <c r="Q24" s="164"/>
      <c r="R24" s="297"/>
      <c r="S24" s="164"/>
      <c r="T24" s="164"/>
      <c r="U24" s="164"/>
      <c r="V24" s="164"/>
      <c r="W24" s="164"/>
      <c r="X24" s="164"/>
      <c r="Y24" s="165"/>
      <c r="Z24" s="165"/>
      <c r="AA24" s="27"/>
      <c r="AB24" s="185"/>
      <c r="AC24" s="185"/>
      <c r="AD24" s="184">
        <f t="shared" si="0"/>
        <v>0</v>
      </c>
      <c r="AE24" s="185"/>
      <c r="AF24" s="187"/>
      <c r="AG24" s="187"/>
      <c r="AH24" s="187"/>
      <c r="AI24" s="187"/>
      <c r="AJ24" s="57"/>
      <c r="AK24" s="57"/>
      <c r="AL24" s="57"/>
      <c r="AM24" s="57"/>
      <c r="AN24" s="28"/>
      <c r="AO24" s="28"/>
      <c r="AP24" s="28"/>
      <c r="AQ24" s="28"/>
      <c r="AR24" s="27"/>
      <c r="AS24" s="27"/>
      <c r="AT24" s="27"/>
      <c r="AU24" s="105"/>
      <c r="AV24" s="172"/>
      <c r="AW24" s="172"/>
      <c r="AX24" s="105"/>
      <c r="AY24" s="105"/>
      <c r="AZ24" s="105"/>
      <c r="BA24" s="187"/>
      <c r="BB24" s="187"/>
      <c r="BC24" s="187"/>
      <c r="BD24" s="191"/>
      <c r="BE24" s="105"/>
      <c r="BF24" s="105"/>
      <c r="BG24" s="84"/>
      <c r="BH24" s="84"/>
      <c r="BI24" s="84"/>
      <c r="BJ24" s="84"/>
      <c r="BK24" s="84"/>
      <c r="BL24" s="84"/>
      <c r="BM24" s="84"/>
      <c r="BN24" s="177"/>
      <c r="BO24" s="84"/>
      <c r="BP24" s="84"/>
      <c r="BQ24" s="84"/>
      <c r="BR24" s="84"/>
      <c r="BS24" s="84"/>
      <c r="BT24" s="84"/>
      <c r="BU24" s="84"/>
      <c r="BV24" s="84"/>
      <c r="BW24" s="84"/>
      <c r="BX24" s="84"/>
      <c r="BY24" s="84"/>
      <c r="BZ24" s="84"/>
      <c r="CA24" s="84"/>
      <c r="CB24" s="84"/>
      <c r="CC24" s="84"/>
      <c r="CD24" s="84"/>
      <c r="CE24" s="84"/>
      <c r="CF24" s="84"/>
      <c r="CG24" s="84"/>
      <c r="CH24" s="84"/>
      <c r="CI24" s="84"/>
      <c r="CJ24" s="84"/>
      <c r="CK24" s="84"/>
      <c r="CL24" s="84"/>
      <c r="CM24" s="294"/>
      <c r="CN24" s="182"/>
      <c r="CO24" s="156"/>
      <c r="CP24" s="182"/>
      <c r="CQ24" s="182"/>
      <c r="CR24" s="182"/>
      <c r="CS24" s="182"/>
      <c r="CT24" s="3"/>
      <c r="CU24" s="3"/>
      <c r="CV24" s="1"/>
    </row>
    <row r="25" spans="1:100" x14ac:dyDescent="0.25">
      <c r="A25" t="s">
        <v>94</v>
      </c>
      <c r="B25" s="17" t="s">
        <v>14</v>
      </c>
      <c r="C25" s="18" t="s">
        <v>12</v>
      </c>
      <c r="D25" s="19">
        <v>1</v>
      </c>
      <c r="E25" s="19"/>
      <c r="F25" s="160"/>
      <c r="G25" s="160"/>
      <c r="H25" s="160"/>
      <c r="I25" s="160"/>
      <c r="J25" s="160">
        <v>1</v>
      </c>
      <c r="K25" s="164"/>
      <c r="L25" s="164"/>
      <c r="M25" s="164"/>
      <c r="N25" s="164"/>
      <c r="O25" s="164"/>
      <c r="P25" s="164"/>
      <c r="Q25" s="164"/>
      <c r="R25" s="164"/>
      <c r="S25" s="164"/>
      <c r="T25" s="164"/>
      <c r="U25" s="164"/>
      <c r="V25" s="164"/>
      <c r="W25" s="164"/>
      <c r="X25" s="164"/>
      <c r="Y25" s="165">
        <v>1</v>
      </c>
      <c r="Z25" s="165"/>
      <c r="AA25" s="27"/>
      <c r="AB25" s="27"/>
      <c r="AC25" s="27"/>
      <c r="AD25" s="184">
        <f t="shared" si="0"/>
        <v>0</v>
      </c>
      <c r="AE25" s="27"/>
      <c r="AF25" s="27"/>
      <c r="AG25" s="27"/>
      <c r="AH25" s="27"/>
      <c r="AI25" s="27"/>
      <c r="AJ25" s="27"/>
      <c r="AK25" s="27"/>
      <c r="AL25" s="27"/>
      <c r="AM25" s="27"/>
      <c r="AN25" s="27"/>
      <c r="AO25" s="27"/>
      <c r="AP25" s="27"/>
      <c r="AQ25" s="27"/>
      <c r="AR25" s="27">
        <v>1</v>
      </c>
      <c r="AS25" s="27"/>
      <c r="AT25" s="27"/>
      <c r="AU25" s="105"/>
      <c r="AV25" s="105"/>
      <c r="AW25" s="105"/>
      <c r="AX25" s="105"/>
      <c r="AY25" s="105"/>
      <c r="AZ25" s="105"/>
      <c r="BA25" s="105"/>
      <c r="BB25" s="105"/>
      <c r="BC25" s="105"/>
      <c r="BD25" s="105"/>
      <c r="BE25" s="105">
        <v>1</v>
      </c>
      <c r="BF25" s="105"/>
      <c r="BG25" s="84"/>
      <c r="BH25" s="84"/>
      <c r="BI25" s="84"/>
      <c r="BJ25" s="84"/>
      <c r="BK25" s="84"/>
      <c r="BL25" s="84"/>
      <c r="BM25" s="84"/>
      <c r="BN25" s="84"/>
      <c r="BO25" s="84"/>
      <c r="BP25" s="84"/>
      <c r="BQ25" s="84"/>
      <c r="BR25" s="84"/>
      <c r="BS25" s="84"/>
      <c r="BT25" s="84"/>
      <c r="BU25" s="84"/>
      <c r="BV25" s="84"/>
      <c r="BW25" s="84"/>
      <c r="BX25" s="84"/>
      <c r="BY25" s="84"/>
      <c r="BZ25" s="84"/>
      <c r="CA25" s="84"/>
      <c r="CB25" s="84"/>
      <c r="CC25" s="84"/>
      <c r="CD25" s="84"/>
      <c r="CE25" s="84"/>
      <c r="CF25" s="84"/>
      <c r="CG25" s="84"/>
      <c r="CH25" s="84"/>
      <c r="CI25" s="84"/>
      <c r="CJ25" s="84"/>
      <c r="CK25" s="84">
        <v>1</v>
      </c>
      <c r="CL25" s="84"/>
      <c r="CM25" s="182"/>
      <c r="CN25" s="182"/>
      <c r="CO25" s="182"/>
      <c r="CP25" s="182"/>
      <c r="CQ25" s="182"/>
      <c r="CR25" s="182">
        <v>1</v>
      </c>
      <c r="CS25" s="182"/>
      <c r="CT25" s="3">
        <f t="shared" ref="CT25:CT56" si="1">SUMPRODUCT(Y$2:CS$2,Y25:CS25)</f>
        <v>1</v>
      </c>
      <c r="CU25" s="3"/>
      <c r="CV25" s="1" t="s">
        <v>96</v>
      </c>
    </row>
    <row r="26" spans="1:100" x14ac:dyDescent="0.25">
      <c r="A26" t="s">
        <v>92</v>
      </c>
      <c r="B26" s="17" t="s">
        <v>15</v>
      </c>
      <c r="C26" s="19" t="s">
        <v>12</v>
      </c>
      <c r="D26" s="19">
        <v>1</v>
      </c>
      <c r="E26" s="19"/>
      <c r="F26" s="160"/>
      <c r="G26" s="160"/>
      <c r="H26" s="160"/>
      <c r="I26" s="160"/>
      <c r="J26" s="160">
        <v>1</v>
      </c>
      <c r="K26" s="164"/>
      <c r="L26" s="164"/>
      <c r="M26" s="164"/>
      <c r="N26" s="164"/>
      <c r="O26" s="164"/>
      <c r="P26" s="164"/>
      <c r="Q26" s="164"/>
      <c r="R26" s="164"/>
      <c r="S26" s="164"/>
      <c r="T26" s="164"/>
      <c r="U26" s="164"/>
      <c r="V26" s="164"/>
      <c r="W26" s="164"/>
      <c r="X26" s="164"/>
      <c r="Y26" s="165">
        <v>1</v>
      </c>
      <c r="Z26" s="165"/>
      <c r="AA26" s="27"/>
      <c r="AB26" s="27"/>
      <c r="AC26" s="27"/>
      <c r="AD26" s="184">
        <f t="shared" si="0"/>
        <v>0</v>
      </c>
      <c r="AE26" s="27"/>
      <c r="AF26" s="27"/>
      <c r="AG26" s="27"/>
      <c r="AH26" s="27"/>
      <c r="AI26" s="27"/>
      <c r="AJ26" s="27"/>
      <c r="AK26" s="27"/>
      <c r="AL26" s="27"/>
      <c r="AM26" s="27"/>
      <c r="AN26" s="27"/>
      <c r="AO26" s="27"/>
      <c r="AP26" s="27"/>
      <c r="AQ26" s="27"/>
      <c r="AR26" s="27">
        <v>1</v>
      </c>
      <c r="AS26" s="27"/>
      <c r="AT26" s="27"/>
      <c r="AU26" s="105"/>
      <c r="AV26" s="105"/>
      <c r="AW26" s="105"/>
      <c r="AX26" s="105"/>
      <c r="AY26" s="105"/>
      <c r="AZ26" s="105"/>
      <c r="BA26" s="105"/>
      <c r="BB26" s="105"/>
      <c r="BC26" s="105"/>
      <c r="BD26" s="105"/>
      <c r="BE26" s="105">
        <v>1</v>
      </c>
      <c r="BF26" s="105"/>
      <c r="BG26" s="84"/>
      <c r="BH26" s="84"/>
      <c r="BI26" s="84"/>
      <c r="BJ26" s="84"/>
      <c r="BK26" s="84"/>
      <c r="BL26" s="84"/>
      <c r="BM26" s="84"/>
      <c r="BN26" s="84"/>
      <c r="BO26" s="84"/>
      <c r="BP26" s="84"/>
      <c r="BQ26" s="84"/>
      <c r="BR26" s="84"/>
      <c r="BS26" s="84"/>
      <c r="BT26" s="84"/>
      <c r="BU26" s="84"/>
      <c r="BV26" s="84"/>
      <c r="BW26" s="84"/>
      <c r="BX26" s="84"/>
      <c r="BY26" s="84"/>
      <c r="BZ26" s="84"/>
      <c r="CA26" s="84"/>
      <c r="CB26" s="84"/>
      <c r="CC26" s="84"/>
      <c r="CD26" s="84"/>
      <c r="CE26" s="84"/>
      <c r="CF26" s="84"/>
      <c r="CG26" s="84"/>
      <c r="CH26" s="84"/>
      <c r="CI26" s="84"/>
      <c r="CJ26" s="84"/>
      <c r="CK26" s="84">
        <v>1</v>
      </c>
      <c r="CL26" s="84"/>
      <c r="CM26" s="182"/>
      <c r="CN26" s="182"/>
      <c r="CO26" s="182"/>
      <c r="CP26" s="182"/>
      <c r="CQ26" s="182"/>
      <c r="CR26" s="182">
        <v>1</v>
      </c>
      <c r="CS26" s="182"/>
      <c r="CT26" s="3">
        <f t="shared" si="1"/>
        <v>1</v>
      </c>
      <c r="CU26" s="3"/>
      <c r="CV26" s="1"/>
    </row>
    <row r="27" spans="1:100" x14ac:dyDescent="0.25">
      <c r="A27" t="s">
        <v>93</v>
      </c>
      <c r="B27" s="17" t="s">
        <v>16</v>
      </c>
      <c r="C27" s="19" t="s">
        <v>12</v>
      </c>
      <c r="D27" s="19">
        <v>1</v>
      </c>
      <c r="E27" s="19"/>
      <c r="F27" s="160"/>
      <c r="G27" s="160"/>
      <c r="H27" s="160"/>
      <c r="I27" s="160"/>
      <c r="J27" s="160">
        <v>1</v>
      </c>
      <c r="K27" s="164"/>
      <c r="L27" s="164"/>
      <c r="M27" s="164"/>
      <c r="N27" s="164"/>
      <c r="O27" s="164"/>
      <c r="P27" s="164"/>
      <c r="Q27" s="164"/>
      <c r="R27" s="164"/>
      <c r="S27" s="164"/>
      <c r="T27" s="164"/>
      <c r="U27" s="164"/>
      <c r="V27" s="164"/>
      <c r="W27" s="164"/>
      <c r="X27" s="164"/>
      <c r="Y27" s="165">
        <v>1</v>
      </c>
      <c r="Z27" s="165"/>
      <c r="AA27" s="27"/>
      <c r="AB27" s="27"/>
      <c r="AC27" s="27"/>
      <c r="AD27" s="184">
        <f t="shared" si="0"/>
        <v>0</v>
      </c>
      <c r="AE27" s="27"/>
      <c r="AF27" s="27"/>
      <c r="AG27" s="27"/>
      <c r="AH27" s="27"/>
      <c r="AI27" s="27"/>
      <c r="AJ27" s="27"/>
      <c r="AK27" s="27"/>
      <c r="AL27" s="27"/>
      <c r="AM27" s="27"/>
      <c r="AN27" s="27"/>
      <c r="AO27" s="27"/>
      <c r="AP27" s="27"/>
      <c r="AQ27" s="27"/>
      <c r="AR27" s="27">
        <v>1</v>
      </c>
      <c r="AS27" s="27"/>
      <c r="AT27" s="27"/>
      <c r="AU27" s="105"/>
      <c r="AV27" s="105"/>
      <c r="AW27" s="105"/>
      <c r="AX27" s="105"/>
      <c r="AY27" s="105"/>
      <c r="AZ27" s="105"/>
      <c r="BA27" s="105"/>
      <c r="BB27" s="105"/>
      <c r="BC27" s="105"/>
      <c r="BD27" s="105"/>
      <c r="BE27" s="105">
        <v>1</v>
      </c>
      <c r="BF27" s="105"/>
      <c r="BG27" s="84"/>
      <c r="BH27" s="84"/>
      <c r="BI27" s="84"/>
      <c r="BJ27" s="84"/>
      <c r="BK27" s="84"/>
      <c r="BL27" s="84"/>
      <c r="BM27" s="84"/>
      <c r="BN27" s="84"/>
      <c r="BO27" s="84"/>
      <c r="BP27" s="84"/>
      <c r="BQ27" s="84"/>
      <c r="BR27" s="84"/>
      <c r="BS27" s="84"/>
      <c r="BT27" s="84"/>
      <c r="BU27" s="84"/>
      <c r="BV27" s="84"/>
      <c r="BW27" s="84"/>
      <c r="BX27" s="84"/>
      <c r="BY27" s="84"/>
      <c r="BZ27" s="84"/>
      <c r="CA27" s="84"/>
      <c r="CB27" s="84"/>
      <c r="CC27" s="84"/>
      <c r="CD27" s="84"/>
      <c r="CE27" s="84"/>
      <c r="CF27" s="84"/>
      <c r="CG27" s="84"/>
      <c r="CH27" s="84"/>
      <c r="CI27" s="84"/>
      <c r="CJ27" s="84"/>
      <c r="CK27" s="84">
        <v>1</v>
      </c>
      <c r="CL27" s="84"/>
      <c r="CM27" s="182"/>
      <c r="CN27" s="182"/>
      <c r="CO27" s="182"/>
      <c r="CP27" s="182"/>
      <c r="CQ27" s="182"/>
      <c r="CR27" s="182">
        <v>1</v>
      </c>
      <c r="CS27" s="182"/>
      <c r="CT27" s="3">
        <f t="shared" si="1"/>
        <v>1</v>
      </c>
      <c r="CU27" s="3"/>
      <c r="CV27" s="1"/>
    </row>
    <row r="28" spans="1:100" x14ac:dyDescent="0.25">
      <c r="A28" t="s">
        <v>94</v>
      </c>
      <c r="B28" s="17" t="s">
        <v>17</v>
      </c>
      <c r="C28" s="19" t="s">
        <v>12</v>
      </c>
      <c r="D28" s="19">
        <v>1</v>
      </c>
      <c r="E28" s="19"/>
      <c r="F28" s="160"/>
      <c r="G28" s="160"/>
      <c r="H28" s="160"/>
      <c r="I28" s="160"/>
      <c r="J28" s="160">
        <v>1</v>
      </c>
      <c r="K28" s="164"/>
      <c r="L28" s="164"/>
      <c r="M28" s="164"/>
      <c r="N28" s="164"/>
      <c r="O28" s="164"/>
      <c r="P28" s="164"/>
      <c r="Q28" s="164"/>
      <c r="R28" s="164"/>
      <c r="S28" s="164"/>
      <c r="T28" s="164"/>
      <c r="U28" s="164"/>
      <c r="V28" s="164"/>
      <c r="W28" s="164"/>
      <c r="X28" s="164"/>
      <c r="Y28" s="165">
        <v>1</v>
      </c>
      <c r="Z28" s="165"/>
      <c r="AA28" s="27"/>
      <c r="AB28" s="27"/>
      <c r="AC28" s="27"/>
      <c r="AD28" s="184">
        <f t="shared" si="0"/>
        <v>0</v>
      </c>
      <c r="AE28" s="27"/>
      <c r="AF28" s="27"/>
      <c r="AG28" s="27"/>
      <c r="AH28" s="27"/>
      <c r="AI28" s="27"/>
      <c r="AJ28" s="27"/>
      <c r="AK28" s="27"/>
      <c r="AL28" s="27"/>
      <c r="AM28" s="27"/>
      <c r="AN28" s="27"/>
      <c r="AO28" s="27"/>
      <c r="AP28" s="27"/>
      <c r="AQ28" s="27"/>
      <c r="AR28" s="27">
        <v>1</v>
      </c>
      <c r="AS28" s="27"/>
      <c r="AT28" s="27"/>
      <c r="AU28" s="105"/>
      <c r="AV28" s="105"/>
      <c r="AW28" s="105"/>
      <c r="AX28" s="105"/>
      <c r="AY28" s="105"/>
      <c r="AZ28" s="105"/>
      <c r="BA28" s="105"/>
      <c r="BB28" s="105"/>
      <c r="BC28" s="105"/>
      <c r="BD28" s="105"/>
      <c r="BE28" s="105">
        <v>1</v>
      </c>
      <c r="BF28" s="105"/>
      <c r="BG28" s="84"/>
      <c r="BH28" s="84"/>
      <c r="BI28" s="84"/>
      <c r="BJ28" s="84"/>
      <c r="BK28" s="84"/>
      <c r="BL28" s="84"/>
      <c r="BM28" s="84"/>
      <c r="BN28" s="84"/>
      <c r="BO28" s="84"/>
      <c r="BP28" s="84"/>
      <c r="BQ28" s="84"/>
      <c r="BR28" s="84"/>
      <c r="BS28" s="84"/>
      <c r="BT28" s="84"/>
      <c r="BU28" s="84"/>
      <c r="BV28" s="84"/>
      <c r="BW28" s="84"/>
      <c r="BX28" s="84"/>
      <c r="BY28" s="84"/>
      <c r="BZ28" s="84"/>
      <c r="CA28" s="84"/>
      <c r="CB28" s="84"/>
      <c r="CC28" s="84"/>
      <c r="CD28" s="84"/>
      <c r="CE28" s="84"/>
      <c r="CF28" s="84"/>
      <c r="CG28" s="84"/>
      <c r="CH28" s="84"/>
      <c r="CI28" s="84"/>
      <c r="CJ28" s="84"/>
      <c r="CK28" s="84">
        <v>1</v>
      </c>
      <c r="CL28" s="84"/>
      <c r="CM28" s="182"/>
      <c r="CN28" s="182"/>
      <c r="CO28" s="182"/>
      <c r="CP28" s="182"/>
      <c r="CQ28" s="182"/>
      <c r="CR28" s="182">
        <v>1</v>
      </c>
      <c r="CS28" s="182"/>
      <c r="CT28" s="3">
        <f t="shared" si="1"/>
        <v>1</v>
      </c>
      <c r="CU28" s="3"/>
      <c r="CV28" s="1"/>
    </row>
    <row r="29" spans="1:100" x14ac:dyDescent="0.25">
      <c r="A29" t="s">
        <v>92</v>
      </c>
      <c r="B29" s="17" t="s">
        <v>18</v>
      </c>
      <c r="C29" s="19" t="s">
        <v>12</v>
      </c>
      <c r="D29" s="19">
        <v>1</v>
      </c>
      <c r="E29" s="19"/>
      <c r="F29" s="160"/>
      <c r="G29" s="160"/>
      <c r="H29" s="160"/>
      <c r="I29" s="160"/>
      <c r="J29" s="160">
        <v>1</v>
      </c>
      <c r="K29" s="164"/>
      <c r="L29" s="164"/>
      <c r="M29" s="164"/>
      <c r="N29" s="164"/>
      <c r="O29" s="164"/>
      <c r="P29" s="164"/>
      <c r="Q29" s="164"/>
      <c r="R29" s="164"/>
      <c r="S29" s="164"/>
      <c r="T29" s="164"/>
      <c r="U29" s="164"/>
      <c r="V29" s="164"/>
      <c r="W29" s="164"/>
      <c r="X29" s="164"/>
      <c r="Y29" s="165">
        <v>1</v>
      </c>
      <c r="Z29" s="165"/>
      <c r="AA29" s="27"/>
      <c r="AB29" s="27"/>
      <c r="AC29" s="27"/>
      <c r="AD29" s="184">
        <f t="shared" si="0"/>
        <v>0</v>
      </c>
      <c r="AE29" s="27"/>
      <c r="AF29" s="27"/>
      <c r="AG29" s="27"/>
      <c r="AH29" s="27"/>
      <c r="AI29" s="27"/>
      <c r="AJ29" s="27"/>
      <c r="AK29" s="27"/>
      <c r="AL29" s="27"/>
      <c r="AM29" s="27"/>
      <c r="AN29" s="27"/>
      <c r="AO29" s="27"/>
      <c r="AP29" s="27"/>
      <c r="AQ29" s="27"/>
      <c r="AR29" s="27">
        <v>1</v>
      </c>
      <c r="AS29" s="27"/>
      <c r="AT29" s="27"/>
      <c r="AU29" s="105"/>
      <c r="AV29" s="105"/>
      <c r="AW29" s="105"/>
      <c r="AX29" s="105"/>
      <c r="AY29" s="105"/>
      <c r="AZ29" s="105"/>
      <c r="BA29" s="105"/>
      <c r="BB29" s="105"/>
      <c r="BC29" s="105"/>
      <c r="BD29" s="105"/>
      <c r="BE29" s="105">
        <v>1</v>
      </c>
      <c r="BF29" s="105"/>
      <c r="BG29" s="84"/>
      <c r="BH29" s="84"/>
      <c r="BI29" s="84"/>
      <c r="BJ29" s="84"/>
      <c r="BK29" s="84"/>
      <c r="BL29" s="84"/>
      <c r="BM29" s="84"/>
      <c r="BN29" s="84"/>
      <c r="BO29" s="84"/>
      <c r="BP29" s="84"/>
      <c r="BQ29" s="84"/>
      <c r="BR29" s="84"/>
      <c r="BS29" s="84"/>
      <c r="BT29" s="84"/>
      <c r="BU29" s="84"/>
      <c r="BV29" s="84"/>
      <c r="BW29" s="84"/>
      <c r="BX29" s="84"/>
      <c r="BY29" s="84"/>
      <c r="BZ29" s="84"/>
      <c r="CA29" s="84"/>
      <c r="CB29" s="84"/>
      <c r="CC29" s="84"/>
      <c r="CD29" s="84"/>
      <c r="CE29" s="84"/>
      <c r="CF29" s="84"/>
      <c r="CG29" s="84"/>
      <c r="CH29" s="84"/>
      <c r="CI29" s="84"/>
      <c r="CJ29" s="84"/>
      <c r="CK29" s="84">
        <v>1</v>
      </c>
      <c r="CL29" s="84"/>
      <c r="CM29" s="182"/>
      <c r="CN29" s="182"/>
      <c r="CO29" s="182"/>
      <c r="CP29" s="182"/>
      <c r="CQ29" s="182"/>
      <c r="CR29" s="182">
        <v>1</v>
      </c>
      <c r="CS29" s="182"/>
      <c r="CT29" s="3">
        <f t="shared" si="1"/>
        <v>1</v>
      </c>
      <c r="CU29" s="3"/>
      <c r="CV29" s="1"/>
    </row>
    <row r="30" spans="1:100" x14ac:dyDescent="0.25">
      <c r="A30" t="s">
        <v>94</v>
      </c>
      <c r="B30" s="17" t="s">
        <v>19</v>
      </c>
      <c r="C30" s="19" t="s">
        <v>12</v>
      </c>
      <c r="D30" s="19">
        <v>1</v>
      </c>
      <c r="E30" s="19"/>
      <c r="F30" s="160"/>
      <c r="G30" s="160"/>
      <c r="H30" s="160"/>
      <c r="I30" s="160"/>
      <c r="J30" s="160">
        <v>1</v>
      </c>
      <c r="K30" s="164"/>
      <c r="L30" s="164"/>
      <c r="M30" s="164"/>
      <c r="N30" s="164"/>
      <c r="O30" s="164"/>
      <c r="P30" s="164"/>
      <c r="Q30" s="164"/>
      <c r="R30" s="164"/>
      <c r="S30" s="164"/>
      <c r="T30" s="164"/>
      <c r="U30" s="164"/>
      <c r="V30" s="164"/>
      <c r="W30" s="164"/>
      <c r="X30" s="164"/>
      <c r="Y30" s="165">
        <v>1</v>
      </c>
      <c r="Z30" s="165"/>
      <c r="AA30" s="27"/>
      <c r="AB30" s="27"/>
      <c r="AC30" s="27"/>
      <c r="AD30" s="184">
        <f t="shared" si="0"/>
        <v>0</v>
      </c>
      <c r="AE30" s="27"/>
      <c r="AF30" s="27"/>
      <c r="AG30" s="27"/>
      <c r="AH30" s="27"/>
      <c r="AI30" s="27"/>
      <c r="AJ30" s="27"/>
      <c r="AK30" s="27"/>
      <c r="AL30" s="27"/>
      <c r="AM30" s="27"/>
      <c r="AN30" s="27"/>
      <c r="AO30" s="27"/>
      <c r="AP30" s="27"/>
      <c r="AQ30" s="27"/>
      <c r="AR30" s="27">
        <v>1</v>
      </c>
      <c r="AS30" s="27"/>
      <c r="AT30" s="27"/>
      <c r="AU30" s="105"/>
      <c r="AV30" s="105"/>
      <c r="AW30" s="105"/>
      <c r="AX30" s="105"/>
      <c r="AY30" s="105"/>
      <c r="AZ30" s="105"/>
      <c r="BA30" s="105"/>
      <c r="BB30" s="105"/>
      <c r="BC30" s="105"/>
      <c r="BD30" s="105"/>
      <c r="BE30" s="105">
        <v>1</v>
      </c>
      <c r="BF30" s="105"/>
      <c r="BG30" s="84"/>
      <c r="BH30" s="84"/>
      <c r="BI30" s="84"/>
      <c r="BJ30" s="84"/>
      <c r="BK30" s="84"/>
      <c r="BL30" s="84"/>
      <c r="BM30" s="84"/>
      <c r="BN30" s="84"/>
      <c r="BO30" s="84"/>
      <c r="BP30" s="84"/>
      <c r="BQ30" s="84"/>
      <c r="BR30" s="84"/>
      <c r="BS30" s="84"/>
      <c r="BT30" s="84"/>
      <c r="BU30" s="84"/>
      <c r="BV30" s="84"/>
      <c r="BW30" s="84"/>
      <c r="BX30" s="84"/>
      <c r="BY30" s="84"/>
      <c r="BZ30" s="84"/>
      <c r="CA30" s="84"/>
      <c r="CB30" s="84"/>
      <c r="CC30" s="84"/>
      <c r="CD30" s="84"/>
      <c r="CE30" s="84"/>
      <c r="CF30" s="84"/>
      <c r="CG30" s="84"/>
      <c r="CH30" s="84"/>
      <c r="CI30" s="84"/>
      <c r="CJ30" s="84"/>
      <c r="CK30" s="84">
        <v>1</v>
      </c>
      <c r="CL30" s="84"/>
      <c r="CM30" s="182"/>
      <c r="CN30" s="182"/>
      <c r="CO30" s="182"/>
      <c r="CP30" s="182"/>
      <c r="CQ30" s="182"/>
      <c r="CR30" s="182">
        <v>1</v>
      </c>
      <c r="CS30" s="182"/>
      <c r="CT30" s="3">
        <f t="shared" si="1"/>
        <v>1</v>
      </c>
      <c r="CU30" s="3"/>
      <c r="CV30" s="1"/>
    </row>
    <row r="31" spans="1:100" x14ac:dyDescent="0.25">
      <c r="A31" t="s">
        <v>92</v>
      </c>
      <c r="B31" s="17" t="s">
        <v>20</v>
      </c>
      <c r="C31" s="19" t="s">
        <v>12</v>
      </c>
      <c r="D31" s="19">
        <v>1</v>
      </c>
      <c r="E31" s="19"/>
      <c r="F31" s="160"/>
      <c r="G31" s="160"/>
      <c r="H31" s="160"/>
      <c r="I31" s="160"/>
      <c r="J31" s="160">
        <v>1</v>
      </c>
      <c r="K31" s="164"/>
      <c r="L31" s="164"/>
      <c r="M31" s="164"/>
      <c r="N31" s="164"/>
      <c r="O31" s="164"/>
      <c r="P31" s="164"/>
      <c r="Q31" s="164"/>
      <c r="R31" s="164"/>
      <c r="S31" s="164"/>
      <c r="T31" s="164"/>
      <c r="U31" s="164"/>
      <c r="V31" s="164"/>
      <c r="W31" s="164"/>
      <c r="X31" s="164"/>
      <c r="Y31" s="165">
        <v>1</v>
      </c>
      <c r="Z31" s="165"/>
      <c r="AA31" s="27"/>
      <c r="AB31" s="27"/>
      <c r="AC31" s="27"/>
      <c r="AD31" s="184">
        <f t="shared" si="0"/>
        <v>0</v>
      </c>
      <c r="AE31" s="27"/>
      <c r="AF31" s="27"/>
      <c r="AG31" s="27"/>
      <c r="AH31" s="27"/>
      <c r="AI31" s="27"/>
      <c r="AJ31" s="27"/>
      <c r="AK31" s="27"/>
      <c r="AL31" s="27"/>
      <c r="AM31" s="27"/>
      <c r="AN31" s="27"/>
      <c r="AO31" s="27"/>
      <c r="AP31" s="27"/>
      <c r="AQ31" s="27"/>
      <c r="AR31" s="27">
        <v>1</v>
      </c>
      <c r="AS31" s="27"/>
      <c r="AT31" s="27"/>
      <c r="AU31" s="105"/>
      <c r="AV31" s="105"/>
      <c r="AW31" s="105"/>
      <c r="AX31" s="105"/>
      <c r="AY31" s="105"/>
      <c r="AZ31" s="105"/>
      <c r="BA31" s="105"/>
      <c r="BB31" s="105"/>
      <c r="BC31" s="105"/>
      <c r="BD31" s="105"/>
      <c r="BE31" s="105">
        <v>1</v>
      </c>
      <c r="BF31" s="105"/>
      <c r="BG31" s="84"/>
      <c r="BH31" s="84"/>
      <c r="BI31" s="84"/>
      <c r="BJ31" s="84"/>
      <c r="BK31" s="84"/>
      <c r="BL31" s="84"/>
      <c r="BM31" s="84"/>
      <c r="BN31" s="84"/>
      <c r="BO31" s="84"/>
      <c r="BP31" s="84"/>
      <c r="BQ31" s="84"/>
      <c r="BR31" s="84"/>
      <c r="BS31" s="84"/>
      <c r="BT31" s="84"/>
      <c r="BU31" s="84"/>
      <c r="BV31" s="84"/>
      <c r="BW31" s="84"/>
      <c r="BX31" s="84"/>
      <c r="BY31" s="84"/>
      <c r="BZ31" s="84"/>
      <c r="CA31" s="84"/>
      <c r="CB31" s="84"/>
      <c r="CC31" s="84"/>
      <c r="CD31" s="84"/>
      <c r="CE31" s="84"/>
      <c r="CF31" s="84"/>
      <c r="CG31" s="84"/>
      <c r="CH31" s="84"/>
      <c r="CI31" s="84"/>
      <c r="CJ31" s="84"/>
      <c r="CK31" s="84">
        <v>1</v>
      </c>
      <c r="CL31" s="84"/>
      <c r="CM31" s="182"/>
      <c r="CN31" s="182"/>
      <c r="CO31" s="182"/>
      <c r="CP31" s="182"/>
      <c r="CQ31" s="182"/>
      <c r="CR31" s="182">
        <v>1</v>
      </c>
      <c r="CS31" s="182"/>
      <c r="CT31" s="3">
        <f t="shared" si="1"/>
        <v>1</v>
      </c>
      <c r="CU31" s="3"/>
      <c r="CV31" s="1"/>
    </row>
    <row r="32" spans="1:100" x14ac:dyDescent="0.25">
      <c r="A32" t="s">
        <v>93</v>
      </c>
      <c r="B32" s="17" t="s">
        <v>21</v>
      </c>
      <c r="C32" s="19" t="s">
        <v>12</v>
      </c>
      <c r="D32" s="19">
        <v>1</v>
      </c>
      <c r="E32" s="19"/>
      <c r="F32" s="160"/>
      <c r="G32" s="160"/>
      <c r="H32" s="160"/>
      <c r="I32" s="160"/>
      <c r="J32" s="160">
        <v>1</v>
      </c>
      <c r="K32" s="164"/>
      <c r="L32" s="164"/>
      <c r="M32" s="164"/>
      <c r="N32" s="164"/>
      <c r="O32" s="164"/>
      <c r="P32" s="164"/>
      <c r="Q32" s="164"/>
      <c r="R32" s="164"/>
      <c r="S32" s="164"/>
      <c r="T32" s="164"/>
      <c r="U32" s="164"/>
      <c r="V32" s="164"/>
      <c r="W32" s="164"/>
      <c r="X32" s="164"/>
      <c r="Y32" s="165">
        <v>1</v>
      </c>
      <c r="Z32" s="165"/>
      <c r="AA32" s="27"/>
      <c r="AB32" s="27"/>
      <c r="AC32" s="27"/>
      <c r="AD32" s="184">
        <f t="shared" si="0"/>
        <v>0</v>
      </c>
      <c r="AE32" s="27"/>
      <c r="AF32" s="27"/>
      <c r="AG32" s="27"/>
      <c r="AH32" s="27"/>
      <c r="AI32" s="27"/>
      <c r="AJ32" s="27"/>
      <c r="AK32" s="27"/>
      <c r="AL32" s="27"/>
      <c r="AM32" s="27"/>
      <c r="AN32" s="27"/>
      <c r="AO32" s="27"/>
      <c r="AP32" s="27"/>
      <c r="AQ32" s="27"/>
      <c r="AR32" s="27">
        <v>1</v>
      </c>
      <c r="AS32" s="27"/>
      <c r="AT32" s="27"/>
      <c r="AU32" s="105"/>
      <c r="AV32" s="105"/>
      <c r="AW32" s="105"/>
      <c r="AX32" s="105"/>
      <c r="AY32" s="105"/>
      <c r="AZ32" s="105"/>
      <c r="BA32" s="105"/>
      <c r="BB32" s="105"/>
      <c r="BC32" s="105"/>
      <c r="BD32" s="105"/>
      <c r="BE32" s="105">
        <v>1</v>
      </c>
      <c r="BF32" s="105"/>
      <c r="BG32" s="84"/>
      <c r="BH32" s="84"/>
      <c r="BI32" s="84"/>
      <c r="BJ32" s="84"/>
      <c r="BK32" s="84"/>
      <c r="BL32" s="84"/>
      <c r="BM32" s="84"/>
      <c r="BN32" s="84"/>
      <c r="BO32" s="84"/>
      <c r="BP32" s="84"/>
      <c r="BQ32" s="84"/>
      <c r="BR32" s="84"/>
      <c r="BS32" s="84"/>
      <c r="BT32" s="84"/>
      <c r="BU32" s="84"/>
      <c r="BV32" s="84"/>
      <c r="BW32" s="84"/>
      <c r="BX32" s="84"/>
      <c r="BY32" s="84"/>
      <c r="BZ32" s="84"/>
      <c r="CA32" s="84"/>
      <c r="CB32" s="84"/>
      <c r="CC32" s="84"/>
      <c r="CD32" s="84"/>
      <c r="CE32" s="84"/>
      <c r="CF32" s="84"/>
      <c r="CG32" s="84"/>
      <c r="CH32" s="84"/>
      <c r="CI32" s="84"/>
      <c r="CJ32" s="84"/>
      <c r="CK32" s="84">
        <v>1</v>
      </c>
      <c r="CL32" s="84"/>
      <c r="CM32" s="182"/>
      <c r="CN32" s="182"/>
      <c r="CO32" s="182"/>
      <c r="CP32" s="182"/>
      <c r="CQ32" s="182"/>
      <c r="CR32" s="182">
        <v>1</v>
      </c>
      <c r="CS32" s="182"/>
      <c r="CT32" s="3">
        <f t="shared" si="1"/>
        <v>1</v>
      </c>
      <c r="CU32" s="3"/>
      <c r="CV32" s="1"/>
    </row>
    <row r="33" spans="1:100" x14ac:dyDescent="0.25">
      <c r="A33" t="s">
        <v>94</v>
      </c>
      <c r="B33" s="17" t="s">
        <v>22</v>
      </c>
      <c r="C33" s="19" t="s">
        <v>97</v>
      </c>
      <c r="D33" s="19">
        <v>1</v>
      </c>
      <c r="E33" s="19"/>
      <c r="F33" s="160"/>
      <c r="G33" s="160"/>
      <c r="H33" s="160"/>
      <c r="I33" s="160"/>
      <c r="J33" s="160">
        <v>1</v>
      </c>
      <c r="K33" s="164"/>
      <c r="L33" s="164"/>
      <c r="M33" s="164"/>
      <c r="N33" s="164"/>
      <c r="O33" s="164"/>
      <c r="P33" s="164"/>
      <c r="Q33" s="164"/>
      <c r="R33" s="164"/>
      <c r="S33" s="164"/>
      <c r="T33" s="164"/>
      <c r="U33" s="164"/>
      <c r="V33" s="164"/>
      <c r="W33" s="164"/>
      <c r="X33" s="164"/>
      <c r="Y33" s="165">
        <v>1</v>
      </c>
      <c r="Z33" s="165"/>
      <c r="AA33" s="27"/>
      <c r="AB33" s="27"/>
      <c r="AC33" s="27"/>
      <c r="AD33" s="184">
        <f t="shared" si="0"/>
        <v>0</v>
      </c>
      <c r="AE33" s="27"/>
      <c r="AF33" s="27"/>
      <c r="AG33" s="27"/>
      <c r="AH33" s="27"/>
      <c r="AI33" s="27"/>
      <c r="AJ33" s="27"/>
      <c r="AK33" s="27"/>
      <c r="AL33" s="27"/>
      <c r="AM33" s="27"/>
      <c r="AN33" s="27"/>
      <c r="AO33" s="27"/>
      <c r="AP33" s="27"/>
      <c r="AQ33" s="27"/>
      <c r="AR33" s="27">
        <v>1</v>
      </c>
      <c r="AS33" s="27"/>
      <c r="AT33" s="27"/>
      <c r="AU33" s="105"/>
      <c r="AV33" s="105"/>
      <c r="AW33" s="105"/>
      <c r="AX33" s="105"/>
      <c r="AY33" s="105"/>
      <c r="AZ33" s="105"/>
      <c r="BA33" s="105"/>
      <c r="BB33" s="105"/>
      <c r="BC33" s="105"/>
      <c r="BD33" s="105"/>
      <c r="BE33" s="105">
        <v>1</v>
      </c>
      <c r="BF33" s="105"/>
      <c r="BG33" s="84"/>
      <c r="BH33" s="84"/>
      <c r="BI33" s="84"/>
      <c r="BJ33" s="84"/>
      <c r="BK33" s="84"/>
      <c r="BL33" s="84"/>
      <c r="BM33" s="84"/>
      <c r="BN33" s="84"/>
      <c r="BO33" s="84"/>
      <c r="BP33" s="84"/>
      <c r="BQ33" s="84"/>
      <c r="BR33" s="84"/>
      <c r="BS33" s="84"/>
      <c r="BT33" s="84"/>
      <c r="BU33" s="84"/>
      <c r="BV33" s="84"/>
      <c r="BW33" s="84"/>
      <c r="BX33" s="84"/>
      <c r="BY33" s="84"/>
      <c r="BZ33" s="84"/>
      <c r="CA33" s="84"/>
      <c r="CB33" s="84"/>
      <c r="CC33" s="84"/>
      <c r="CD33" s="84"/>
      <c r="CE33" s="84"/>
      <c r="CF33" s="84"/>
      <c r="CG33" s="84"/>
      <c r="CH33" s="84"/>
      <c r="CI33" s="84"/>
      <c r="CJ33" s="84"/>
      <c r="CK33" s="84">
        <v>1</v>
      </c>
      <c r="CL33" s="84"/>
      <c r="CM33" s="182"/>
      <c r="CN33" s="182"/>
      <c r="CO33" s="182"/>
      <c r="CP33" s="182"/>
      <c r="CQ33" s="182"/>
      <c r="CR33" s="182">
        <v>1</v>
      </c>
      <c r="CS33" s="182"/>
      <c r="CT33" s="3">
        <f t="shared" si="1"/>
        <v>1</v>
      </c>
      <c r="CU33" s="3"/>
      <c r="CV33" s="1"/>
    </row>
    <row r="34" spans="1:100" x14ac:dyDescent="0.25">
      <c r="A34" t="s">
        <v>92</v>
      </c>
      <c r="B34" s="17" t="s">
        <v>23</v>
      </c>
      <c r="C34" s="19" t="s">
        <v>97</v>
      </c>
      <c r="D34" s="19">
        <v>1</v>
      </c>
      <c r="E34" s="19"/>
      <c r="F34" s="160"/>
      <c r="G34" s="160"/>
      <c r="H34" s="160"/>
      <c r="I34" s="160"/>
      <c r="J34" s="160">
        <v>1</v>
      </c>
      <c r="K34" s="164"/>
      <c r="L34" s="164"/>
      <c r="M34" s="164"/>
      <c r="N34" s="164"/>
      <c r="O34" s="164"/>
      <c r="P34" s="164"/>
      <c r="Q34" s="164"/>
      <c r="R34" s="164"/>
      <c r="S34" s="164"/>
      <c r="T34" s="164"/>
      <c r="U34" s="164"/>
      <c r="V34" s="164"/>
      <c r="W34" s="164"/>
      <c r="X34" s="164"/>
      <c r="Y34" s="165">
        <v>1</v>
      </c>
      <c r="Z34" s="165"/>
      <c r="AA34" s="27"/>
      <c r="AB34" s="27"/>
      <c r="AC34" s="27"/>
      <c r="AD34" s="184">
        <f t="shared" si="0"/>
        <v>0</v>
      </c>
      <c r="AE34" s="27"/>
      <c r="AF34" s="27"/>
      <c r="AG34" s="27"/>
      <c r="AH34" s="27"/>
      <c r="AI34" s="27"/>
      <c r="AJ34" s="27"/>
      <c r="AK34" s="27"/>
      <c r="AL34" s="27"/>
      <c r="AM34" s="27"/>
      <c r="AN34" s="27"/>
      <c r="AO34" s="27"/>
      <c r="AP34" s="27"/>
      <c r="AQ34" s="27"/>
      <c r="AR34" s="27">
        <v>1</v>
      </c>
      <c r="AS34" s="27"/>
      <c r="AT34" s="27"/>
      <c r="AU34" s="105"/>
      <c r="AV34" s="105"/>
      <c r="AW34" s="105"/>
      <c r="AX34" s="105"/>
      <c r="AY34" s="105"/>
      <c r="AZ34" s="105"/>
      <c r="BA34" s="105"/>
      <c r="BB34" s="105"/>
      <c r="BC34" s="105"/>
      <c r="BD34" s="105"/>
      <c r="BE34" s="105">
        <v>1</v>
      </c>
      <c r="BF34" s="105"/>
      <c r="BG34" s="84"/>
      <c r="BH34" s="84"/>
      <c r="BI34" s="84"/>
      <c r="BJ34" s="84"/>
      <c r="BK34" s="84"/>
      <c r="BL34" s="84"/>
      <c r="BM34" s="84"/>
      <c r="BN34" s="84"/>
      <c r="BO34" s="84"/>
      <c r="BP34" s="84"/>
      <c r="BQ34" s="84"/>
      <c r="BR34" s="84"/>
      <c r="BS34" s="84"/>
      <c r="BT34" s="84"/>
      <c r="BU34" s="84"/>
      <c r="BV34" s="84"/>
      <c r="BW34" s="84"/>
      <c r="BX34" s="84"/>
      <c r="BY34" s="84"/>
      <c r="BZ34" s="84"/>
      <c r="CA34" s="84"/>
      <c r="CB34" s="84"/>
      <c r="CC34" s="84"/>
      <c r="CD34" s="84"/>
      <c r="CE34" s="84"/>
      <c r="CF34" s="84"/>
      <c r="CG34" s="84"/>
      <c r="CH34" s="84"/>
      <c r="CI34" s="84"/>
      <c r="CJ34" s="84"/>
      <c r="CK34" s="84">
        <v>1</v>
      </c>
      <c r="CL34" s="84"/>
      <c r="CM34" s="182"/>
      <c r="CN34" s="182"/>
      <c r="CO34" s="182"/>
      <c r="CP34" s="182"/>
      <c r="CQ34" s="182"/>
      <c r="CR34" s="182">
        <v>1</v>
      </c>
      <c r="CS34" s="182"/>
      <c r="CT34" s="3">
        <f t="shared" si="1"/>
        <v>1</v>
      </c>
      <c r="CU34" s="3"/>
      <c r="CV34" s="1" t="s">
        <v>98</v>
      </c>
    </row>
    <row r="35" spans="1:100" x14ac:dyDescent="0.25">
      <c r="A35" t="s">
        <v>94</v>
      </c>
      <c r="B35" s="17" t="s">
        <v>24</v>
      </c>
      <c r="C35" s="19" t="s">
        <v>12</v>
      </c>
      <c r="D35" s="19">
        <v>1</v>
      </c>
      <c r="E35" s="19"/>
      <c r="F35" s="160"/>
      <c r="G35" s="160"/>
      <c r="H35" s="160"/>
      <c r="I35" s="160"/>
      <c r="J35" s="160">
        <v>1</v>
      </c>
      <c r="K35" s="164"/>
      <c r="L35" s="164"/>
      <c r="M35" s="164"/>
      <c r="N35" s="164"/>
      <c r="O35" s="164"/>
      <c r="P35" s="164"/>
      <c r="Q35" s="164"/>
      <c r="R35" s="164"/>
      <c r="S35" s="164"/>
      <c r="T35" s="164"/>
      <c r="U35" s="164"/>
      <c r="V35" s="164"/>
      <c r="W35" s="164"/>
      <c r="X35" s="164"/>
      <c r="Y35" s="165">
        <v>1</v>
      </c>
      <c r="Z35" s="165"/>
      <c r="AA35" s="27"/>
      <c r="AB35" s="27"/>
      <c r="AC35" s="27"/>
      <c r="AD35" s="184">
        <f t="shared" si="0"/>
        <v>0</v>
      </c>
      <c r="AE35" s="27"/>
      <c r="AF35" s="27"/>
      <c r="AG35" s="27"/>
      <c r="AH35" s="27"/>
      <c r="AI35" s="27"/>
      <c r="AJ35" s="27"/>
      <c r="AK35" s="27"/>
      <c r="AL35" s="27"/>
      <c r="AM35" s="27"/>
      <c r="AN35" s="27"/>
      <c r="AO35" s="27"/>
      <c r="AP35" s="27"/>
      <c r="AQ35" s="27"/>
      <c r="AR35" s="27">
        <v>1</v>
      </c>
      <c r="AS35" s="27"/>
      <c r="AT35" s="27"/>
      <c r="AU35" s="105"/>
      <c r="AV35" s="105"/>
      <c r="AW35" s="105"/>
      <c r="AX35" s="105"/>
      <c r="AY35" s="105"/>
      <c r="AZ35" s="105"/>
      <c r="BA35" s="105"/>
      <c r="BB35" s="105"/>
      <c r="BC35" s="105"/>
      <c r="BD35" s="105"/>
      <c r="BE35" s="105">
        <v>1</v>
      </c>
      <c r="BF35" s="105"/>
      <c r="BG35" s="84"/>
      <c r="BH35" s="84"/>
      <c r="BI35" s="84"/>
      <c r="BJ35" s="84"/>
      <c r="BK35" s="84"/>
      <c r="BL35" s="84"/>
      <c r="BM35" s="84"/>
      <c r="BN35" s="84"/>
      <c r="BO35" s="84"/>
      <c r="BP35" s="84"/>
      <c r="BQ35" s="84"/>
      <c r="BR35" s="84"/>
      <c r="BS35" s="84"/>
      <c r="BT35" s="84"/>
      <c r="BU35" s="84"/>
      <c r="BV35" s="84"/>
      <c r="BW35" s="84"/>
      <c r="BX35" s="84"/>
      <c r="BY35" s="84"/>
      <c r="BZ35" s="84"/>
      <c r="CA35" s="84"/>
      <c r="CB35" s="84"/>
      <c r="CC35" s="84"/>
      <c r="CD35" s="84"/>
      <c r="CE35" s="84"/>
      <c r="CF35" s="84"/>
      <c r="CG35" s="84"/>
      <c r="CH35" s="84"/>
      <c r="CI35" s="84"/>
      <c r="CJ35" s="84"/>
      <c r="CK35" s="84">
        <v>1</v>
      </c>
      <c r="CL35" s="84"/>
      <c r="CM35" s="182"/>
      <c r="CN35" s="182"/>
      <c r="CO35" s="182"/>
      <c r="CP35" s="182"/>
      <c r="CQ35" s="182"/>
      <c r="CR35" s="182">
        <v>1</v>
      </c>
      <c r="CS35" s="182"/>
      <c r="CT35" s="3">
        <f t="shared" si="1"/>
        <v>1</v>
      </c>
      <c r="CU35" s="3"/>
      <c r="CV35" s="1"/>
    </row>
    <row r="36" spans="1:100" x14ac:dyDescent="0.25">
      <c r="A36" t="s">
        <v>92</v>
      </c>
      <c r="B36" s="17" t="s">
        <v>27</v>
      </c>
      <c r="C36" s="19" t="s">
        <v>97</v>
      </c>
      <c r="D36" s="19">
        <v>1</v>
      </c>
      <c r="E36" s="19"/>
      <c r="F36" s="160"/>
      <c r="G36" s="160"/>
      <c r="H36" s="160"/>
      <c r="I36" s="160"/>
      <c r="J36" s="160">
        <v>1</v>
      </c>
      <c r="K36" s="164"/>
      <c r="L36" s="164"/>
      <c r="M36" s="164"/>
      <c r="N36" s="164"/>
      <c r="O36" s="164"/>
      <c r="P36" s="164"/>
      <c r="Q36" s="164"/>
      <c r="R36" s="164"/>
      <c r="S36" s="164"/>
      <c r="T36" s="164"/>
      <c r="U36" s="164"/>
      <c r="V36" s="164"/>
      <c r="W36" s="164"/>
      <c r="X36" s="164"/>
      <c r="Y36" s="165">
        <v>1</v>
      </c>
      <c r="Z36" s="165"/>
      <c r="AA36" s="27"/>
      <c r="AB36" s="27"/>
      <c r="AC36" s="27"/>
      <c r="AD36" s="184">
        <f t="shared" si="0"/>
        <v>0</v>
      </c>
      <c r="AE36" s="27"/>
      <c r="AF36" s="27"/>
      <c r="AG36" s="27"/>
      <c r="AH36" s="27"/>
      <c r="AI36" s="27"/>
      <c r="AJ36" s="27"/>
      <c r="AK36" s="27"/>
      <c r="AL36" s="27"/>
      <c r="AM36" s="27"/>
      <c r="AN36" s="27"/>
      <c r="AO36" s="27"/>
      <c r="AP36" s="27"/>
      <c r="AQ36" s="27"/>
      <c r="AR36" s="27">
        <v>1</v>
      </c>
      <c r="AS36" s="27"/>
      <c r="AT36" s="27"/>
      <c r="AU36" s="105"/>
      <c r="AV36" s="105"/>
      <c r="AW36" s="105"/>
      <c r="AX36" s="105"/>
      <c r="AY36" s="105"/>
      <c r="AZ36" s="105"/>
      <c r="BA36" s="105"/>
      <c r="BB36" s="105"/>
      <c r="BC36" s="105"/>
      <c r="BD36" s="105"/>
      <c r="BE36" s="105">
        <v>1</v>
      </c>
      <c r="BF36" s="105"/>
      <c r="BG36" s="84"/>
      <c r="BH36" s="84"/>
      <c r="BI36" s="84"/>
      <c r="BJ36" s="84"/>
      <c r="BK36" s="84"/>
      <c r="BL36" s="84"/>
      <c r="BM36" s="84"/>
      <c r="BN36" s="84"/>
      <c r="BO36" s="84"/>
      <c r="BP36" s="84"/>
      <c r="BQ36" s="84"/>
      <c r="BR36" s="84"/>
      <c r="BS36" s="84"/>
      <c r="BT36" s="84"/>
      <c r="BU36" s="84"/>
      <c r="BV36" s="84"/>
      <c r="BW36" s="84"/>
      <c r="BX36" s="84"/>
      <c r="BY36" s="84"/>
      <c r="BZ36" s="84"/>
      <c r="CA36" s="84"/>
      <c r="CB36" s="84"/>
      <c r="CC36" s="84"/>
      <c r="CD36" s="84"/>
      <c r="CE36" s="84"/>
      <c r="CF36" s="84"/>
      <c r="CG36" s="84"/>
      <c r="CH36" s="84"/>
      <c r="CI36" s="84"/>
      <c r="CJ36" s="84"/>
      <c r="CK36" s="84">
        <v>1</v>
      </c>
      <c r="CL36" s="84"/>
      <c r="CM36" s="182"/>
      <c r="CN36" s="182"/>
      <c r="CO36" s="182"/>
      <c r="CP36" s="182"/>
      <c r="CQ36" s="182"/>
      <c r="CR36" s="182">
        <v>1</v>
      </c>
      <c r="CS36" s="182"/>
      <c r="CT36" s="3">
        <f t="shared" si="1"/>
        <v>1</v>
      </c>
      <c r="CU36" s="3"/>
      <c r="CV36" s="1" t="s">
        <v>99</v>
      </c>
    </row>
    <row r="37" spans="1:100" x14ac:dyDescent="0.25">
      <c r="A37" t="s">
        <v>93</v>
      </c>
      <c r="B37" s="17" t="s">
        <v>28</v>
      </c>
      <c r="C37" s="19" t="s">
        <v>12</v>
      </c>
      <c r="D37" s="19">
        <v>1</v>
      </c>
      <c r="E37" s="19"/>
      <c r="F37" s="160"/>
      <c r="G37" s="160"/>
      <c r="H37" s="160"/>
      <c r="I37" s="160"/>
      <c r="J37" s="160">
        <v>1</v>
      </c>
      <c r="K37" s="164"/>
      <c r="L37" s="164"/>
      <c r="M37" s="164"/>
      <c r="N37" s="164"/>
      <c r="O37" s="164"/>
      <c r="P37" s="164"/>
      <c r="Q37" s="164"/>
      <c r="R37" s="164"/>
      <c r="S37" s="164"/>
      <c r="T37" s="164"/>
      <c r="U37" s="164"/>
      <c r="V37" s="164"/>
      <c r="W37" s="164"/>
      <c r="X37" s="164"/>
      <c r="Y37" s="165">
        <v>1</v>
      </c>
      <c r="Z37" s="165"/>
      <c r="AA37" s="27"/>
      <c r="AB37" s="27"/>
      <c r="AC37" s="27"/>
      <c r="AD37" s="184">
        <f t="shared" si="0"/>
        <v>0</v>
      </c>
      <c r="AE37" s="27"/>
      <c r="AF37" s="27"/>
      <c r="AG37" s="27"/>
      <c r="AH37" s="27"/>
      <c r="AI37" s="27"/>
      <c r="AJ37" s="27"/>
      <c r="AK37" s="27"/>
      <c r="AL37" s="27"/>
      <c r="AM37" s="27"/>
      <c r="AN37" s="27"/>
      <c r="AO37" s="27"/>
      <c r="AP37" s="27"/>
      <c r="AQ37" s="27"/>
      <c r="AR37" s="27">
        <v>1</v>
      </c>
      <c r="AS37" s="27"/>
      <c r="AT37" s="27"/>
      <c r="AU37" s="105"/>
      <c r="AV37" s="105"/>
      <c r="AW37" s="105"/>
      <c r="AX37" s="105"/>
      <c r="AY37" s="105"/>
      <c r="AZ37" s="105"/>
      <c r="BA37" s="105"/>
      <c r="BB37" s="105"/>
      <c r="BC37" s="105"/>
      <c r="BD37" s="105"/>
      <c r="BE37" s="105">
        <v>1</v>
      </c>
      <c r="BF37" s="105"/>
      <c r="BG37" s="84"/>
      <c r="BH37" s="84"/>
      <c r="BI37" s="84"/>
      <c r="BJ37" s="84"/>
      <c r="BK37" s="84"/>
      <c r="BL37" s="84"/>
      <c r="BM37" s="84"/>
      <c r="BN37" s="84"/>
      <c r="BO37" s="84"/>
      <c r="BP37" s="84"/>
      <c r="BQ37" s="84"/>
      <c r="BR37" s="84"/>
      <c r="BS37" s="84"/>
      <c r="BT37" s="84"/>
      <c r="BU37" s="84"/>
      <c r="BV37" s="84"/>
      <c r="BW37" s="84"/>
      <c r="BX37" s="84"/>
      <c r="BY37" s="84"/>
      <c r="BZ37" s="84"/>
      <c r="CA37" s="84"/>
      <c r="CB37" s="84"/>
      <c r="CC37" s="84"/>
      <c r="CD37" s="84"/>
      <c r="CE37" s="84"/>
      <c r="CF37" s="84"/>
      <c r="CG37" s="84"/>
      <c r="CH37" s="84"/>
      <c r="CI37" s="84"/>
      <c r="CJ37" s="84"/>
      <c r="CK37" s="84">
        <v>1</v>
      </c>
      <c r="CL37" s="84"/>
      <c r="CM37" s="182"/>
      <c r="CN37" s="182"/>
      <c r="CO37" s="182"/>
      <c r="CP37" s="182"/>
      <c r="CQ37" s="182"/>
      <c r="CR37" s="182">
        <v>1</v>
      </c>
      <c r="CS37" s="182"/>
      <c r="CT37" s="3">
        <f t="shared" si="1"/>
        <v>1</v>
      </c>
      <c r="CU37" s="3"/>
      <c r="CV37" s="1"/>
    </row>
    <row r="38" spans="1:100" x14ac:dyDescent="0.25">
      <c r="A38" t="s">
        <v>94</v>
      </c>
      <c r="B38" s="17" t="s">
        <v>32</v>
      </c>
      <c r="C38" s="19" t="s">
        <v>12</v>
      </c>
      <c r="D38" s="19">
        <v>1</v>
      </c>
      <c r="E38" s="19"/>
      <c r="F38" s="160"/>
      <c r="G38" s="160"/>
      <c r="H38" s="160"/>
      <c r="I38" s="160"/>
      <c r="J38" s="160">
        <v>1</v>
      </c>
      <c r="K38" s="164"/>
      <c r="L38" s="164"/>
      <c r="M38" s="164"/>
      <c r="N38" s="164"/>
      <c r="O38" s="164"/>
      <c r="P38" s="164"/>
      <c r="Q38" s="164"/>
      <c r="R38" s="164"/>
      <c r="S38" s="164"/>
      <c r="T38" s="164"/>
      <c r="U38" s="164"/>
      <c r="V38" s="164"/>
      <c r="W38" s="164"/>
      <c r="X38" s="164"/>
      <c r="Y38" s="165">
        <v>1</v>
      </c>
      <c r="Z38" s="165"/>
      <c r="AA38" s="27"/>
      <c r="AB38" s="27"/>
      <c r="AC38" s="27"/>
      <c r="AD38" s="184">
        <f t="shared" si="0"/>
        <v>0</v>
      </c>
      <c r="AE38" s="27"/>
      <c r="AF38" s="27"/>
      <c r="AG38" s="27"/>
      <c r="AH38" s="27"/>
      <c r="AI38" s="27"/>
      <c r="AJ38" s="27"/>
      <c r="AK38" s="27"/>
      <c r="AL38" s="27"/>
      <c r="AM38" s="27"/>
      <c r="AN38" s="27"/>
      <c r="AO38" s="27"/>
      <c r="AP38" s="27"/>
      <c r="AQ38" s="27"/>
      <c r="AR38" s="27">
        <v>1</v>
      </c>
      <c r="AS38" s="27"/>
      <c r="AT38" s="27"/>
      <c r="AU38" s="105"/>
      <c r="AV38" s="105"/>
      <c r="AW38" s="105"/>
      <c r="AX38" s="105"/>
      <c r="AY38" s="105"/>
      <c r="AZ38" s="105"/>
      <c r="BA38" s="105"/>
      <c r="BB38" s="105"/>
      <c r="BC38" s="105"/>
      <c r="BD38" s="105"/>
      <c r="BE38" s="105">
        <v>1</v>
      </c>
      <c r="BF38" s="105"/>
      <c r="BG38" s="84"/>
      <c r="BH38" s="84"/>
      <c r="BI38" s="84"/>
      <c r="BJ38" s="84"/>
      <c r="BK38" s="84"/>
      <c r="BL38" s="84"/>
      <c r="BM38" s="84"/>
      <c r="BN38" s="84"/>
      <c r="BO38" s="84"/>
      <c r="BP38" s="84"/>
      <c r="BQ38" s="84"/>
      <c r="BR38" s="84"/>
      <c r="BS38" s="84"/>
      <c r="BT38" s="84"/>
      <c r="BU38" s="84"/>
      <c r="BV38" s="84"/>
      <c r="BW38" s="84"/>
      <c r="BX38" s="84"/>
      <c r="BY38" s="84"/>
      <c r="BZ38" s="84"/>
      <c r="CA38" s="84"/>
      <c r="CB38" s="84"/>
      <c r="CC38" s="84"/>
      <c r="CD38" s="84"/>
      <c r="CE38" s="84"/>
      <c r="CF38" s="84"/>
      <c r="CG38" s="84"/>
      <c r="CH38" s="84"/>
      <c r="CI38" s="84"/>
      <c r="CJ38" s="84"/>
      <c r="CK38" s="84">
        <v>1</v>
      </c>
      <c r="CL38" s="84"/>
      <c r="CM38" s="182"/>
      <c r="CN38" s="182"/>
      <c r="CO38" s="182"/>
      <c r="CP38" s="182"/>
      <c r="CQ38" s="182"/>
      <c r="CR38" s="182">
        <v>1</v>
      </c>
      <c r="CS38" s="182"/>
      <c r="CT38" s="3">
        <f t="shared" si="1"/>
        <v>1</v>
      </c>
      <c r="CU38" s="3"/>
      <c r="CV38" s="1"/>
    </row>
    <row r="39" spans="1:100" x14ac:dyDescent="0.25">
      <c r="A39" t="s">
        <v>92</v>
      </c>
      <c r="B39" s="17" t="s">
        <v>33</v>
      </c>
      <c r="C39" s="19" t="s">
        <v>12</v>
      </c>
      <c r="D39" s="19">
        <v>1</v>
      </c>
      <c r="E39" s="19"/>
      <c r="F39" s="160"/>
      <c r="G39" s="160"/>
      <c r="H39" s="160"/>
      <c r="I39" s="160"/>
      <c r="J39" s="160">
        <v>1</v>
      </c>
      <c r="K39" s="164"/>
      <c r="L39" s="164"/>
      <c r="M39" s="164"/>
      <c r="N39" s="164"/>
      <c r="O39" s="164"/>
      <c r="P39" s="164"/>
      <c r="Q39" s="164"/>
      <c r="R39" s="164"/>
      <c r="S39" s="164"/>
      <c r="T39" s="164"/>
      <c r="U39" s="164"/>
      <c r="V39" s="164"/>
      <c r="W39" s="164"/>
      <c r="X39" s="164"/>
      <c r="Y39" s="165">
        <v>1</v>
      </c>
      <c r="Z39" s="165"/>
      <c r="AA39" s="27"/>
      <c r="AB39" s="27"/>
      <c r="AC39" s="27"/>
      <c r="AD39" s="184">
        <f t="shared" si="0"/>
        <v>0</v>
      </c>
      <c r="AE39" s="27"/>
      <c r="AF39" s="27"/>
      <c r="AG39" s="27"/>
      <c r="AH39" s="27"/>
      <c r="AI39" s="27"/>
      <c r="AJ39" s="27"/>
      <c r="AK39" s="27"/>
      <c r="AL39" s="27"/>
      <c r="AM39" s="27"/>
      <c r="AN39" s="27"/>
      <c r="AO39" s="27"/>
      <c r="AP39" s="27"/>
      <c r="AQ39" s="27"/>
      <c r="AR39" s="27">
        <v>1</v>
      </c>
      <c r="AS39" s="27"/>
      <c r="AT39" s="27"/>
      <c r="AU39" s="105"/>
      <c r="AV39" s="105"/>
      <c r="AW39" s="105"/>
      <c r="AX39" s="105"/>
      <c r="AY39" s="105"/>
      <c r="AZ39" s="105"/>
      <c r="BA39" s="105"/>
      <c r="BB39" s="105"/>
      <c r="BC39" s="105"/>
      <c r="BD39" s="105"/>
      <c r="BE39" s="105">
        <v>1</v>
      </c>
      <c r="BF39" s="105"/>
      <c r="BG39" s="84"/>
      <c r="BH39" s="84"/>
      <c r="BI39" s="84"/>
      <c r="BJ39" s="84"/>
      <c r="BK39" s="84"/>
      <c r="BL39" s="84"/>
      <c r="BM39" s="84"/>
      <c r="BN39" s="84"/>
      <c r="BO39" s="84"/>
      <c r="BP39" s="84"/>
      <c r="BQ39" s="84"/>
      <c r="BR39" s="84"/>
      <c r="BS39" s="84"/>
      <c r="BT39" s="84"/>
      <c r="BU39" s="84"/>
      <c r="BV39" s="84"/>
      <c r="BW39" s="84"/>
      <c r="BX39" s="84"/>
      <c r="BY39" s="84"/>
      <c r="BZ39" s="84"/>
      <c r="CA39" s="84"/>
      <c r="CB39" s="84"/>
      <c r="CC39" s="84"/>
      <c r="CD39" s="84"/>
      <c r="CE39" s="84"/>
      <c r="CF39" s="84"/>
      <c r="CG39" s="84"/>
      <c r="CH39" s="84"/>
      <c r="CI39" s="84"/>
      <c r="CJ39" s="84"/>
      <c r="CK39" s="84">
        <v>1</v>
      </c>
      <c r="CL39" s="84"/>
      <c r="CM39" s="182"/>
      <c r="CN39" s="182"/>
      <c r="CO39" s="182"/>
      <c r="CP39" s="182"/>
      <c r="CQ39" s="182"/>
      <c r="CR39" s="182">
        <v>1</v>
      </c>
      <c r="CS39" s="182"/>
      <c r="CT39" s="3">
        <f t="shared" si="1"/>
        <v>1</v>
      </c>
      <c r="CU39" s="3"/>
      <c r="CV39" s="1"/>
    </row>
    <row r="40" spans="1:100" x14ac:dyDescent="0.25">
      <c r="A40" t="s">
        <v>94</v>
      </c>
      <c r="B40" s="17" t="s">
        <v>34</v>
      </c>
      <c r="C40" s="19" t="s">
        <v>12</v>
      </c>
      <c r="D40" s="19">
        <v>1</v>
      </c>
      <c r="E40" s="19"/>
      <c r="F40" s="160"/>
      <c r="G40" s="160"/>
      <c r="H40" s="160"/>
      <c r="I40" s="160"/>
      <c r="J40" s="160">
        <v>1</v>
      </c>
      <c r="K40" s="164"/>
      <c r="L40" s="164"/>
      <c r="M40" s="164"/>
      <c r="N40" s="164"/>
      <c r="O40" s="164"/>
      <c r="P40" s="164"/>
      <c r="Q40" s="164"/>
      <c r="R40" s="164"/>
      <c r="S40" s="164"/>
      <c r="T40" s="164"/>
      <c r="U40" s="164"/>
      <c r="V40" s="164"/>
      <c r="W40" s="164"/>
      <c r="X40" s="164"/>
      <c r="Y40" s="165">
        <v>1</v>
      </c>
      <c r="Z40" s="165"/>
      <c r="AA40" s="27"/>
      <c r="AB40" s="27"/>
      <c r="AC40" s="27"/>
      <c r="AD40" s="184">
        <f t="shared" si="0"/>
        <v>0</v>
      </c>
      <c r="AE40" s="27"/>
      <c r="AF40" s="27"/>
      <c r="AG40" s="27"/>
      <c r="AH40" s="27"/>
      <c r="AI40" s="27"/>
      <c r="AJ40" s="27"/>
      <c r="AK40" s="27"/>
      <c r="AL40" s="27"/>
      <c r="AM40" s="27"/>
      <c r="AN40" s="27"/>
      <c r="AO40" s="27"/>
      <c r="AP40" s="27"/>
      <c r="AQ40" s="27"/>
      <c r="AR40" s="27">
        <v>1</v>
      </c>
      <c r="AS40" s="27"/>
      <c r="AT40" s="27"/>
      <c r="AU40" s="105"/>
      <c r="AV40" s="105"/>
      <c r="AW40" s="105"/>
      <c r="AX40" s="105"/>
      <c r="AY40" s="105"/>
      <c r="AZ40" s="105"/>
      <c r="BA40" s="105"/>
      <c r="BB40" s="105"/>
      <c r="BC40" s="105"/>
      <c r="BD40" s="105"/>
      <c r="BE40" s="105">
        <v>1</v>
      </c>
      <c r="BF40" s="105"/>
      <c r="BG40" s="84"/>
      <c r="BH40" s="84"/>
      <c r="BI40" s="84"/>
      <c r="BJ40" s="84"/>
      <c r="BK40" s="84"/>
      <c r="BL40" s="84"/>
      <c r="BM40" s="84"/>
      <c r="BN40" s="84"/>
      <c r="BO40" s="84"/>
      <c r="BP40" s="84"/>
      <c r="BQ40" s="84"/>
      <c r="BR40" s="84"/>
      <c r="BS40" s="84"/>
      <c r="BT40" s="84"/>
      <c r="BU40" s="84"/>
      <c r="BV40" s="84"/>
      <c r="BW40" s="84"/>
      <c r="BX40" s="84"/>
      <c r="BY40" s="84"/>
      <c r="BZ40" s="84"/>
      <c r="CA40" s="84"/>
      <c r="CB40" s="84"/>
      <c r="CC40" s="84"/>
      <c r="CD40" s="84"/>
      <c r="CE40" s="84"/>
      <c r="CF40" s="84"/>
      <c r="CG40" s="84"/>
      <c r="CH40" s="84"/>
      <c r="CI40" s="84"/>
      <c r="CJ40" s="84"/>
      <c r="CK40" s="84">
        <v>1</v>
      </c>
      <c r="CL40" s="84"/>
      <c r="CM40" s="182"/>
      <c r="CN40" s="182"/>
      <c r="CO40" s="182"/>
      <c r="CP40" s="182"/>
      <c r="CQ40" s="182"/>
      <c r="CR40" s="182">
        <v>1</v>
      </c>
      <c r="CS40" s="182"/>
      <c r="CT40" s="3">
        <f t="shared" si="1"/>
        <v>1</v>
      </c>
      <c r="CU40" s="3"/>
      <c r="CV40" s="1"/>
    </row>
    <row r="41" spans="1:100" x14ac:dyDescent="0.25">
      <c r="A41" t="s">
        <v>92</v>
      </c>
      <c r="B41" s="17" t="s">
        <v>35</v>
      </c>
      <c r="C41" s="18" t="s">
        <v>12</v>
      </c>
      <c r="D41" s="19">
        <v>1</v>
      </c>
      <c r="E41" s="19"/>
      <c r="F41" s="160"/>
      <c r="G41" s="160"/>
      <c r="H41" s="160"/>
      <c r="I41" s="160"/>
      <c r="J41" s="160">
        <v>1</v>
      </c>
      <c r="K41" s="164"/>
      <c r="L41" s="164"/>
      <c r="M41" s="164"/>
      <c r="N41" s="164"/>
      <c r="O41" s="164"/>
      <c r="P41" s="164"/>
      <c r="Q41" s="164"/>
      <c r="R41" s="164"/>
      <c r="S41" s="164"/>
      <c r="T41" s="164"/>
      <c r="U41" s="164"/>
      <c r="V41" s="164"/>
      <c r="W41" s="164"/>
      <c r="X41" s="164"/>
      <c r="Y41" s="165">
        <v>1</v>
      </c>
      <c r="Z41" s="165"/>
      <c r="AA41" s="27"/>
      <c r="AB41" s="27"/>
      <c r="AC41" s="27"/>
      <c r="AD41" s="184">
        <f t="shared" si="0"/>
        <v>0</v>
      </c>
      <c r="AE41" s="27"/>
      <c r="AF41" s="27"/>
      <c r="AG41" s="27"/>
      <c r="AH41" s="27"/>
      <c r="AI41" s="27"/>
      <c r="AJ41" s="27"/>
      <c r="AK41" s="27"/>
      <c r="AL41" s="27"/>
      <c r="AM41" s="27"/>
      <c r="AN41" s="27"/>
      <c r="AO41" s="27"/>
      <c r="AP41" s="27"/>
      <c r="AQ41" s="27"/>
      <c r="AR41" s="27">
        <v>1</v>
      </c>
      <c r="AS41" s="27"/>
      <c r="AT41" s="27"/>
      <c r="AU41" s="105"/>
      <c r="AV41" s="105"/>
      <c r="AW41" s="105"/>
      <c r="AX41" s="105"/>
      <c r="AY41" s="105"/>
      <c r="AZ41" s="105"/>
      <c r="BA41" s="105"/>
      <c r="BB41" s="105"/>
      <c r="BC41" s="105"/>
      <c r="BD41" s="105"/>
      <c r="BE41" s="105">
        <v>1</v>
      </c>
      <c r="BF41" s="105"/>
      <c r="BG41" s="84"/>
      <c r="BH41" s="84"/>
      <c r="BI41" s="84"/>
      <c r="BJ41" s="84"/>
      <c r="BK41" s="84"/>
      <c r="BL41" s="84"/>
      <c r="BM41" s="84"/>
      <c r="BN41" s="84"/>
      <c r="BO41" s="84"/>
      <c r="BP41" s="84"/>
      <c r="BQ41" s="84"/>
      <c r="BR41" s="84"/>
      <c r="BS41" s="84"/>
      <c r="BT41" s="84"/>
      <c r="BU41" s="84"/>
      <c r="BV41" s="84"/>
      <c r="BW41" s="84"/>
      <c r="BX41" s="84"/>
      <c r="BY41" s="84"/>
      <c r="BZ41" s="84"/>
      <c r="CA41" s="84"/>
      <c r="CB41" s="84"/>
      <c r="CC41" s="84"/>
      <c r="CD41" s="84"/>
      <c r="CE41" s="84"/>
      <c r="CF41" s="84"/>
      <c r="CG41" s="84"/>
      <c r="CH41" s="84"/>
      <c r="CI41" s="84"/>
      <c r="CJ41" s="84"/>
      <c r="CK41" s="84">
        <v>1</v>
      </c>
      <c r="CL41" s="84"/>
      <c r="CM41" s="182"/>
      <c r="CN41" s="182"/>
      <c r="CO41" s="182"/>
      <c r="CP41" s="182"/>
      <c r="CQ41" s="182"/>
      <c r="CR41" s="182">
        <v>1</v>
      </c>
      <c r="CS41" s="182"/>
      <c r="CT41" s="3">
        <f t="shared" si="1"/>
        <v>1</v>
      </c>
      <c r="CU41" s="3"/>
      <c r="CV41" s="1" t="s">
        <v>100</v>
      </c>
    </row>
    <row r="42" spans="1:100" x14ac:dyDescent="0.25">
      <c r="A42" t="s">
        <v>93</v>
      </c>
      <c r="B42" s="17" t="s">
        <v>36</v>
      </c>
      <c r="C42" s="19" t="s">
        <v>12</v>
      </c>
      <c r="D42" s="19">
        <v>1</v>
      </c>
      <c r="E42" s="19"/>
      <c r="F42" s="160"/>
      <c r="G42" s="160"/>
      <c r="H42" s="160"/>
      <c r="I42" s="160"/>
      <c r="J42" s="160">
        <v>1</v>
      </c>
      <c r="K42" s="164"/>
      <c r="L42" s="164"/>
      <c r="M42" s="164"/>
      <c r="N42" s="164"/>
      <c r="O42" s="164"/>
      <c r="P42" s="164"/>
      <c r="Q42" s="164"/>
      <c r="R42" s="164"/>
      <c r="S42" s="164"/>
      <c r="T42" s="164"/>
      <c r="U42" s="164"/>
      <c r="V42" s="164"/>
      <c r="W42" s="164"/>
      <c r="X42" s="164"/>
      <c r="Y42" s="165">
        <v>1</v>
      </c>
      <c r="Z42" s="165"/>
      <c r="AA42" s="27"/>
      <c r="AB42" s="27"/>
      <c r="AC42" s="27"/>
      <c r="AD42" s="184">
        <f t="shared" si="0"/>
        <v>0</v>
      </c>
      <c r="AE42" s="27"/>
      <c r="AF42" s="27"/>
      <c r="AG42" s="27"/>
      <c r="AH42" s="27"/>
      <c r="AI42" s="27"/>
      <c r="AJ42" s="27"/>
      <c r="AK42" s="27"/>
      <c r="AL42" s="27"/>
      <c r="AM42" s="27"/>
      <c r="AN42" s="27"/>
      <c r="AO42" s="27"/>
      <c r="AP42" s="27"/>
      <c r="AQ42" s="27"/>
      <c r="AR42" s="27">
        <v>1</v>
      </c>
      <c r="AS42" s="27"/>
      <c r="AT42" s="27"/>
      <c r="AU42" s="105"/>
      <c r="AV42" s="105"/>
      <c r="AW42" s="105"/>
      <c r="AX42" s="105"/>
      <c r="AY42" s="105"/>
      <c r="AZ42" s="105"/>
      <c r="BA42" s="105"/>
      <c r="BB42" s="105"/>
      <c r="BC42" s="105"/>
      <c r="BD42" s="105"/>
      <c r="BE42" s="105">
        <v>1</v>
      </c>
      <c r="BF42" s="105"/>
      <c r="BG42" s="84"/>
      <c r="BH42" s="84"/>
      <c r="BI42" s="84"/>
      <c r="BJ42" s="84"/>
      <c r="BK42" s="84"/>
      <c r="BL42" s="84"/>
      <c r="BM42" s="84"/>
      <c r="BN42" s="84"/>
      <c r="BO42" s="84"/>
      <c r="BP42" s="84"/>
      <c r="BQ42" s="84"/>
      <c r="BR42" s="84"/>
      <c r="BS42" s="84"/>
      <c r="BT42" s="84"/>
      <c r="BU42" s="84"/>
      <c r="BV42" s="84"/>
      <c r="BW42" s="84"/>
      <c r="BX42" s="84"/>
      <c r="BY42" s="84"/>
      <c r="BZ42" s="84"/>
      <c r="CA42" s="84"/>
      <c r="CB42" s="84"/>
      <c r="CC42" s="84"/>
      <c r="CD42" s="84"/>
      <c r="CE42" s="84"/>
      <c r="CF42" s="84"/>
      <c r="CG42" s="84"/>
      <c r="CH42" s="84"/>
      <c r="CI42" s="84"/>
      <c r="CJ42" s="84"/>
      <c r="CK42" s="84">
        <v>1</v>
      </c>
      <c r="CL42" s="84"/>
      <c r="CM42" s="182"/>
      <c r="CN42" s="182"/>
      <c r="CO42" s="182"/>
      <c r="CP42" s="182"/>
      <c r="CQ42" s="182"/>
      <c r="CR42" s="182">
        <v>1</v>
      </c>
      <c r="CS42" s="182"/>
      <c r="CT42" s="3">
        <f t="shared" si="1"/>
        <v>1</v>
      </c>
      <c r="CU42" s="3"/>
      <c r="CV42" s="1"/>
    </row>
    <row r="43" spans="1:100" x14ac:dyDescent="0.25">
      <c r="A43" t="s">
        <v>94</v>
      </c>
      <c r="B43" s="17" t="s">
        <v>37</v>
      </c>
      <c r="C43" s="19" t="s">
        <v>12</v>
      </c>
      <c r="D43" s="19">
        <v>1</v>
      </c>
      <c r="E43" s="19"/>
      <c r="F43" s="160"/>
      <c r="G43" s="160"/>
      <c r="H43" s="160"/>
      <c r="I43" s="160"/>
      <c r="J43" s="160">
        <v>1</v>
      </c>
      <c r="K43" s="164"/>
      <c r="L43" s="164"/>
      <c r="M43" s="164"/>
      <c r="N43" s="164"/>
      <c r="O43" s="164"/>
      <c r="P43" s="164"/>
      <c r="Q43" s="164"/>
      <c r="R43" s="164"/>
      <c r="S43" s="164"/>
      <c r="T43" s="164"/>
      <c r="U43" s="164"/>
      <c r="V43" s="164"/>
      <c r="W43" s="164"/>
      <c r="X43" s="164"/>
      <c r="Y43" s="165">
        <v>1</v>
      </c>
      <c r="Z43" s="165"/>
      <c r="AA43" s="27"/>
      <c r="AB43" s="27"/>
      <c r="AC43" s="27"/>
      <c r="AD43" s="184">
        <f t="shared" si="0"/>
        <v>0</v>
      </c>
      <c r="AE43" s="27"/>
      <c r="AF43" s="27"/>
      <c r="AG43" s="27"/>
      <c r="AH43" s="27"/>
      <c r="AI43" s="27"/>
      <c r="AJ43" s="27"/>
      <c r="AK43" s="27"/>
      <c r="AL43" s="27"/>
      <c r="AM43" s="27"/>
      <c r="AN43" s="27"/>
      <c r="AO43" s="27"/>
      <c r="AP43" s="27"/>
      <c r="AQ43" s="27"/>
      <c r="AR43" s="27">
        <v>1</v>
      </c>
      <c r="AS43" s="27"/>
      <c r="AT43" s="27"/>
      <c r="AU43" s="105"/>
      <c r="AV43" s="105"/>
      <c r="AW43" s="105"/>
      <c r="AX43" s="105"/>
      <c r="AY43" s="105"/>
      <c r="AZ43" s="105"/>
      <c r="BA43" s="105"/>
      <c r="BB43" s="105"/>
      <c r="BC43" s="105"/>
      <c r="BD43" s="105"/>
      <c r="BE43" s="105">
        <v>1</v>
      </c>
      <c r="BF43" s="105"/>
      <c r="BG43" s="84"/>
      <c r="BH43" s="84"/>
      <c r="BI43" s="84"/>
      <c r="BJ43" s="84"/>
      <c r="BK43" s="84"/>
      <c r="BL43" s="84"/>
      <c r="BM43" s="84"/>
      <c r="BN43" s="84"/>
      <c r="BO43" s="84"/>
      <c r="BP43" s="84"/>
      <c r="BQ43" s="84"/>
      <c r="BR43" s="84"/>
      <c r="BS43" s="84"/>
      <c r="BT43" s="84"/>
      <c r="BU43" s="84"/>
      <c r="BV43" s="84"/>
      <c r="BW43" s="84"/>
      <c r="BX43" s="84"/>
      <c r="BY43" s="84"/>
      <c r="BZ43" s="84"/>
      <c r="CA43" s="84"/>
      <c r="CB43" s="84"/>
      <c r="CC43" s="84"/>
      <c r="CD43" s="84"/>
      <c r="CE43" s="84"/>
      <c r="CF43" s="84"/>
      <c r="CG43" s="84"/>
      <c r="CH43" s="84"/>
      <c r="CI43" s="84"/>
      <c r="CJ43" s="84"/>
      <c r="CK43" s="84">
        <v>1</v>
      </c>
      <c r="CL43" s="84"/>
      <c r="CM43" s="182"/>
      <c r="CN43" s="182"/>
      <c r="CO43" s="182"/>
      <c r="CP43" s="182"/>
      <c r="CQ43" s="182"/>
      <c r="CR43" s="182">
        <v>1</v>
      </c>
      <c r="CS43" s="182"/>
      <c r="CT43" s="3">
        <f t="shared" si="1"/>
        <v>1</v>
      </c>
      <c r="CU43" s="3"/>
      <c r="CV43" s="1"/>
    </row>
    <row r="44" spans="1:100" x14ac:dyDescent="0.25">
      <c r="A44" t="s">
        <v>92</v>
      </c>
      <c r="B44" s="17" t="s">
        <v>38</v>
      </c>
      <c r="C44" s="19" t="s">
        <v>12</v>
      </c>
      <c r="D44" s="19">
        <v>1</v>
      </c>
      <c r="E44" s="19"/>
      <c r="F44" s="160"/>
      <c r="G44" s="160"/>
      <c r="H44" s="160"/>
      <c r="I44" s="160"/>
      <c r="J44" s="160">
        <v>1</v>
      </c>
      <c r="K44" s="164"/>
      <c r="L44" s="164"/>
      <c r="M44" s="164"/>
      <c r="N44" s="164"/>
      <c r="O44" s="164"/>
      <c r="P44" s="164"/>
      <c r="Q44" s="164"/>
      <c r="R44" s="164"/>
      <c r="S44" s="164"/>
      <c r="T44" s="164"/>
      <c r="U44" s="164"/>
      <c r="V44" s="164"/>
      <c r="W44" s="164"/>
      <c r="X44" s="164"/>
      <c r="Y44" s="165">
        <v>1</v>
      </c>
      <c r="Z44" s="165"/>
      <c r="AA44" s="27"/>
      <c r="AB44" s="27"/>
      <c r="AC44" s="27"/>
      <c r="AD44" s="184">
        <f t="shared" si="0"/>
        <v>0</v>
      </c>
      <c r="AE44" s="27"/>
      <c r="AF44" s="27"/>
      <c r="AG44" s="27"/>
      <c r="AH44" s="27"/>
      <c r="AI44" s="27"/>
      <c r="AJ44" s="27"/>
      <c r="AK44" s="27"/>
      <c r="AL44" s="27"/>
      <c r="AM44" s="27"/>
      <c r="AN44" s="27"/>
      <c r="AO44" s="27"/>
      <c r="AP44" s="27"/>
      <c r="AQ44" s="27"/>
      <c r="AR44" s="27">
        <v>1</v>
      </c>
      <c r="AS44" s="27"/>
      <c r="AT44" s="27"/>
      <c r="AU44" s="105"/>
      <c r="AV44" s="105"/>
      <c r="AW44" s="105"/>
      <c r="AX44" s="105"/>
      <c r="AY44" s="105"/>
      <c r="AZ44" s="105"/>
      <c r="BA44" s="105"/>
      <c r="BB44" s="105"/>
      <c r="BC44" s="105"/>
      <c r="BD44" s="105"/>
      <c r="BE44" s="105">
        <v>1</v>
      </c>
      <c r="BF44" s="105"/>
      <c r="BG44" s="84"/>
      <c r="BH44" s="84"/>
      <c r="BI44" s="84"/>
      <c r="BJ44" s="84"/>
      <c r="BK44" s="84"/>
      <c r="BL44" s="84"/>
      <c r="BM44" s="84"/>
      <c r="BN44" s="84"/>
      <c r="BO44" s="84"/>
      <c r="BP44" s="84"/>
      <c r="BQ44" s="84"/>
      <c r="BR44" s="84"/>
      <c r="BS44" s="84"/>
      <c r="BT44" s="84"/>
      <c r="BU44" s="84"/>
      <c r="BV44" s="84"/>
      <c r="BW44" s="84"/>
      <c r="BX44" s="84"/>
      <c r="BY44" s="84"/>
      <c r="BZ44" s="84"/>
      <c r="CA44" s="84"/>
      <c r="CB44" s="84"/>
      <c r="CC44" s="84"/>
      <c r="CD44" s="84"/>
      <c r="CE44" s="84"/>
      <c r="CF44" s="84"/>
      <c r="CG44" s="84"/>
      <c r="CH44" s="84"/>
      <c r="CI44" s="84"/>
      <c r="CJ44" s="84"/>
      <c r="CK44" s="84">
        <v>1</v>
      </c>
      <c r="CL44" s="84"/>
      <c r="CM44" s="182"/>
      <c r="CN44" s="182"/>
      <c r="CO44" s="182"/>
      <c r="CP44" s="182"/>
      <c r="CQ44" s="182"/>
      <c r="CR44" s="182">
        <v>1</v>
      </c>
      <c r="CS44" s="182"/>
      <c r="CT44" s="3">
        <f t="shared" si="1"/>
        <v>1</v>
      </c>
      <c r="CU44" s="3"/>
      <c r="CV44" s="1"/>
    </row>
    <row r="45" spans="1:100" x14ac:dyDescent="0.25">
      <c r="A45" t="s">
        <v>94</v>
      </c>
      <c r="B45" s="17" t="s">
        <v>39</v>
      </c>
      <c r="C45" s="19" t="s">
        <v>12</v>
      </c>
      <c r="D45" s="19">
        <v>1</v>
      </c>
      <c r="E45" s="19"/>
      <c r="F45" s="160"/>
      <c r="G45" s="160"/>
      <c r="H45" s="160"/>
      <c r="I45" s="160"/>
      <c r="J45" s="160">
        <v>1</v>
      </c>
      <c r="K45" s="164"/>
      <c r="L45" s="164"/>
      <c r="M45" s="164"/>
      <c r="N45" s="164"/>
      <c r="O45" s="164"/>
      <c r="P45" s="164"/>
      <c r="Q45" s="164"/>
      <c r="R45" s="164"/>
      <c r="S45" s="164"/>
      <c r="T45" s="164"/>
      <c r="U45" s="164"/>
      <c r="V45" s="164"/>
      <c r="W45" s="164"/>
      <c r="X45" s="164"/>
      <c r="Y45" s="165">
        <v>1</v>
      </c>
      <c r="Z45" s="165"/>
      <c r="AA45" s="27"/>
      <c r="AB45" s="27"/>
      <c r="AC45" s="27"/>
      <c r="AD45" s="184">
        <f t="shared" si="0"/>
        <v>0</v>
      </c>
      <c r="AE45" s="27"/>
      <c r="AF45" s="27"/>
      <c r="AG45" s="27"/>
      <c r="AH45" s="27"/>
      <c r="AI45" s="27"/>
      <c r="AJ45" s="27"/>
      <c r="AK45" s="27"/>
      <c r="AL45" s="27"/>
      <c r="AM45" s="27"/>
      <c r="AN45" s="27"/>
      <c r="AO45" s="27"/>
      <c r="AP45" s="27"/>
      <c r="AQ45" s="27"/>
      <c r="AR45" s="27">
        <v>1</v>
      </c>
      <c r="AS45" s="27"/>
      <c r="AT45" s="27"/>
      <c r="AU45" s="105"/>
      <c r="AV45" s="105"/>
      <c r="AW45" s="105"/>
      <c r="AX45" s="105"/>
      <c r="AY45" s="105"/>
      <c r="AZ45" s="105"/>
      <c r="BA45" s="105"/>
      <c r="BB45" s="105"/>
      <c r="BC45" s="105"/>
      <c r="BD45" s="105"/>
      <c r="BE45" s="105">
        <v>1</v>
      </c>
      <c r="BF45" s="105"/>
      <c r="BG45" s="84"/>
      <c r="BH45" s="84"/>
      <c r="BI45" s="84"/>
      <c r="BJ45" s="84"/>
      <c r="BK45" s="84"/>
      <c r="BL45" s="84"/>
      <c r="BM45" s="84"/>
      <c r="BN45" s="84"/>
      <c r="BO45" s="84"/>
      <c r="BP45" s="84"/>
      <c r="BQ45" s="84"/>
      <c r="BR45" s="84"/>
      <c r="BS45" s="84"/>
      <c r="BT45" s="84"/>
      <c r="BU45" s="84"/>
      <c r="BV45" s="84"/>
      <c r="BW45" s="84"/>
      <c r="BX45" s="84"/>
      <c r="BY45" s="84"/>
      <c r="BZ45" s="84"/>
      <c r="CA45" s="84"/>
      <c r="CB45" s="84"/>
      <c r="CC45" s="84"/>
      <c r="CD45" s="84"/>
      <c r="CE45" s="84"/>
      <c r="CF45" s="84"/>
      <c r="CG45" s="84"/>
      <c r="CH45" s="84"/>
      <c r="CI45" s="84"/>
      <c r="CJ45" s="84"/>
      <c r="CK45" s="84">
        <v>1</v>
      </c>
      <c r="CL45" s="84"/>
      <c r="CM45" s="182"/>
      <c r="CN45" s="182"/>
      <c r="CO45" s="182"/>
      <c r="CP45" s="182"/>
      <c r="CQ45" s="182"/>
      <c r="CR45" s="182">
        <v>1</v>
      </c>
      <c r="CS45" s="182"/>
      <c r="CT45" s="3">
        <f t="shared" si="1"/>
        <v>1</v>
      </c>
      <c r="CU45" s="3"/>
      <c r="CV45" s="1"/>
    </row>
    <row r="46" spans="1:100" x14ac:dyDescent="0.25">
      <c r="A46" t="s">
        <v>92</v>
      </c>
      <c r="B46" s="17" t="s">
        <v>40</v>
      </c>
      <c r="C46" s="19" t="s">
        <v>26</v>
      </c>
      <c r="D46" s="19">
        <v>1</v>
      </c>
      <c r="E46" s="19"/>
      <c r="F46" s="160"/>
      <c r="G46" s="160"/>
      <c r="H46" s="160"/>
      <c r="I46" s="160"/>
      <c r="J46" s="160">
        <v>1</v>
      </c>
      <c r="K46" s="164"/>
      <c r="L46" s="164"/>
      <c r="M46" s="164"/>
      <c r="N46" s="164"/>
      <c r="O46" s="164"/>
      <c r="P46" s="164"/>
      <c r="Q46" s="164"/>
      <c r="R46" s="164"/>
      <c r="S46" s="164"/>
      <c r="T46" s="164"/>
      <c r="U46" s="164"/>
      <c r="V46" s="164"/>
      <c r="W46" s="164"/>
      <c r="X46" s="164"/>
      <c r="Y46" s="165">
        <v>1</v>
      </c>
      <c r="Z46" s="165"/>
      <c r="AA46" s="27"/>
      <c r="AB46" s="27"/>
      <c r="AC46" s="27"/>
      <c r="AD46" s="184">
        <f t="shared" si="0"/>
        <v>0</v>
      </c>
      <c r="AE46" s="27"/>
      <c r="AF46" s="27"/>
      <c r="AG46" s="27"/>
      <c r="AH46" s="27"/>
      <c r="AI46" s="27"/>
      <c r="AJ46" s="27"/>
      <c r="AK46" s="27"/>
      <c r="AL46" s="27"/>
      <c r="AM46" s="27"/>
      <c r="AN46" s="27"/>
      <c r="AO46" s="27"/>
      <c r="AP46" s="27"/>
      <c r="AQ46" s="27"/>
      <c r="AR46" s="27">
        <v>1</v>
      </c>
      <c r="AS46" s="27"/>
      <c r="AT46" s="27"/>
      <c r="AU46" s="105"/>
      <c r="AV46" s="105"/>
      <c r="AW46" s="105"/>
      <c r="AX46" s="105"/>
      <c r="AY46" s="105"/>
      <c r="AZ46" s="105"/>
      <c r="BA46" s="105"/>
      <c r="BB46" s="105"/>
      <c r="BC46" s="105"/>
      <c r="BD46" s="105"/>
      <c r="BE46" s="105">
        <v>1</v>
      </c>
      <c r="BF46" s="105"/>
      <c r="BG46" s="84"/>
      <c r="BH46" s="84"/>
      <c r="BI46" s="84"/>
      <c r="BJ46" s="84"/>
      <c r="BK46" s="84"/>
      <c r="BL46" s="84"/>
      <c r="BM46" s="84"/>
      <c r="BN46" s="84"/>
      <c r="BO46" s="84"/>
      <c r="BP46" s="84"/>
      <c r="BQ46" s="84"/>
      <c r="BR46" s="84"/>
      <c r="BS46" s="84"/>
      <c r="BT46" s="84"/>
      <c r="BU46" s="84"/>
      <c r="BV46" s="84"/>
      <c r="BW46" s="84"/>
      <c r="BX46" s="84"/>
      <c r="BY46" s="84"/>
      <c r="BZ46" s="84"/>
      <c r="CA46" s="84"/>
      <c r="CB46" s="84"/>
      <c r="CC46" s="84"/>
      <c r="CD46" s="84"/>
      <c r="CE46" s="84"/>
      <c r="CF46" s="84"/>
      <c r="CG46" s="84"/>
      <c r="CH46" s="84"/>
      <c r="CI46" s="84"/>
      <c r="CJ46" s="84"/>
      <c r="CK46" s="84">
        <v>1</v>
      </c>
      <c r="CL46" s="84"/>
      <c r="CM46" s="182"/>
      <c r="CN46" s="182"/>
      <c r="CO46" s="182"/>
      <c r="CP46" s="182"/>
      <c r="CQ46" s="182"/>
      <c r="CR46" s="182">
        <v>1</v>
      </c>
      <c r="CS46" s="182"/>
      <c r="CT46" s="3">
        <f t="shared" si="1"/>
        <v>1</v>
      </c>
      <c r="CU46" s="3"/>
      <c r="CV46" s="1" t="s">
        <v>101</v>
      </c>
    </row>
    <row r="47" spans="1:100" x14ac:dyDescent="0.25">
      <c r="A47" t="s">
        <v>93</v>
      </c>
      <c r="B47" s="17" t="s">
        <v>41</v>
      </c>
      <c r="C47" s="19" t="s">
        <v>12</v>
      </c>
      <c r="D47" s="19">
        <v>1</v>
      </c>
      <c r="E47" s="19"/>
      <c r="F47" s="160"/>
      <c r="G47" s="160"/>
      <c r="H47" s="160"/>
      <c r="I47" s="160"/>
      <c r="J47" s="160">
        <v>1</v>
      </c>
      <c r="K47" s="164"/>
      <c r="L47" s="164"/>
      <c r="M47" s="164"/>
      <c r="N47" s="164"/>
      <c r="O47" s="164"/>
      <c r="P47" s="164"/>
      <c r="Q47" s="164"/>
      <c r="R47" s="164"/>
      <c r="S47" s="164"/>
      <c r="T47" s="164"/>
      <c r="U47" s="164"/>
      <c r="V47" s="164"/>
      <c r="W47" s="164"/>
      <c r="X47" s="164"/>
      <c r="Y47" s="165">
        <v>1</v>
      </c>
      <c r="Z47" s="165"/>
      <c r="AA47" s="27"/>
      <c r="AB47" s="27"/>
      <c r="AC47" s="27"/>
      <c r="AD47" s="184">
        <f t="shared" si="0"/>
        <v>0</v>
      </c>
      <c r="AE47" s="27"/>
      <c r="AF47" s="27"/>
      <c r="AG47" s="27"/>
      <c r="AH47" s="27"/>
      <c r="AI47" s="27"/>
      <c r="AJ47" s="27"/>
      <c r="AK47" s="27"/>
      <c r="AL47" s="27"/>
      <c r="AM47" s="27"/>
      <c r="AN47" s="27"/>
      <c r="AO47" s="27"/>
      <c r="AP47" s="27"/>
      <c r="AQ47" s="27"/>
      <c r="AR47" s="27">
        <v>1</v>
      </c>
      <c r="AS47" s="27"/>
      <c r="AT47" s="27"/>
      <c r="AU47" s="105"/>
      <c r="AV47" s="105"/>
      <c r="AW47" s="105"/>
      <c r="AX47" s="105"/>
      <c r="AY47" s="105"/>
      <c r="AZ47" s="105"/>
      <c r="BA47" s="105"/>
      <c r="BB47" s="105"/>
      <c r="BC47" s="105"/>
      <c r="BD47" s="105"/>
      <c r="BE47" s="105">
        <v>1</v>
      </c>
      <c r="BF47" s="105"/>
      <c r="BG47" s="84"/>
      <c r="BH47" s="84"/>
      <c r="BI47" s="84"/>
      <c r="BJ47" s="84"/>
      <c r="BK47" s="84"/>
      <c r="BL47" s="84"/>
      <c r="BM47" s="84"/>
      <c r="BN47" s="84"/>
      <c r="BO47" s="84"/>
      <c r="BP47" s="84"/>
      <c r="BQ47" s="84"/>
      <c r="BR47" s="84"/>
      <c r="BS47" s="84"/>
      <c r="BT47" s="84"/>
      <c r="BU47" s="84"/>
      <c r="BV47" s="84"/>
      <c r="BW47" s="84"/>
      <c r="BX47" s="84"/>
      <c r="BY47" s="84"/>
      <c r="BZ47" s="84"/>
      <c r="CA47" s="84"/>
      <c r="CB47" s="84"/>
      <c r="CC47" s="84"/>
      <c r="CD47" s="84"/>
      <c r="CE47" s="84"/>
      <c r="CF47" s="84"/>
      <c r="CG47" s="84"/>
      <c r="CH47" s="84"/>
      <c r="CI47" s="84"/>
      <c r="CJ47" s="84"/>
      <c r="CK47" s="84">
        <v>1</v>
      </c>
      <c r="CL47" s="84"/>
      <c r="CM47" s="182"/>
      <c r="CN47" s="182"/>
      <c r="CO47" s="182"/>
      <c r="CP47" s="182"/>
      <c r="CQ47" s="182"/>
      <c r="CR47" s="182">
        <v>1</v>
      </c>
      <c r="CS47" s="182"/>
      <c r="CT47" s="3">
        <f t="shared" si="1"/>
        <v>1</v>
      </c>
      <c r="CU47" s="3"/>
      <c r="CV47" s="1"/>
    </row>
    <row r="48" spans="1:100" x14ac:dyDescent="0.25">
      <c r="A48" t="s">
        <v>94</v>
      </c>
      <c r="B48" s="17" t="s">
        <v>42</v>
      </c>
      <c r="C48" s="18" t="s">
        <v>12</v>
      </c>
      <c r="D48" s="19">
        <v>1</v>
      </c>
      <c r="E48" s="19"/>
      <c r="F48" s="160"/>
      <c r="G48" s="160"/>
      <c r="H48" s="160"/>
      <c r="I48" s="160"/>
      <c r="J48" s="160">
        <v>1</v>
      </c>
      <c r="K48" s="164"/>
      <c r="L48" s="164"/>
      <c r="M48" s="164"/>
      <c r="N48" s="164"/>
      <c r="O48" s="164"/>
      <c r="P48" s="164"/>
      <c r="Q48" s="164"/>
      <c r="R48" s="164"/>
      <c r="S48" s="164"/>
      <c r="T48" s="164"/>
      <c r="U48" s="164"/>
      <c r="V48" s="164"/>
      <c r="W48" s="164"/>
      <c r="X48" s="164"/>
      <c r="Y48" s="165">
        <v>1</v>
      </c>
      <c r="Z48" s="165"/>
      <c r="AA48" s="27"/>
      <c r="AB48" s="27"/>
      <c r="AC48" s="27"/>
      <c r="AD48" s="184">
        <f t="shared" si="0"/>
        <v>0</v>
      </c>
      <c r="AE48" s="27"/>
      <c r="AF48" s="27"/>
      <c r="AG48" s="27"/>
      <c r="AH48" s="27"/>
      <c r="AI48" s="27"/>
      <c r="AJ48" s="27"/>
      <c r="AK48" s="27"/>
      <c r="AL48" s="27"/>
      <c r="AM48" s="27"/>
      <c r="AN48" s="27"/>
      <c r="AO48" s="27"/>
      <c r="AP48" s="27"/>
      <c r="AQ48" s="27"/>
      <c r="AR48" s="27">
        <v>1</v>
      </c>
      <c r="AS48" s="27"/>
      <c r="AT48" s="27"/>
      <c r="AU48" s="105"/>
      <c r="AV48" s="105"/>
      <c r="AW48" s="105"/>
      <c r="AX48" s="105"/>
      <c r="AY48" s="105"/>
      <c r="AZ48" s="105"/>
      <c r="BA48" s="105"/>
      <c r="BB48" s="105"/>
      <c r="BC48" s="105"/>
      <c r="BD48" s="105"/>
      <c r="BE48" s="105">
        <v>1</v>
      </c>
      <c r="BF48" s="105"/>
      <c r="BG48" s="84"/>
      <c r="BH48" s="84"/>
      <c r="BI48" s="84"/>
      <c r="BJ48" s="84"/>
      <c r="BK48" s="84"/>
      <c r="BL48" s="84"/>
      <c r="BM48" s="84"/>
      <c r="BN48" s="84"/>
      <c r="BO48" s="84"/>
      <c r="BP48" s="84"/>
      <c r="BQ48" s="84"/>
      <c r="BR48" s="84"/>
      <c r="BS48" s="84"/>
      <c r="BT48" s="84"/>
      <c r="BU48" s="84"/>
      <c r="BV48" s="84"/>
      <c r="BW48" s="84"/>
      <c r="BX48" s="84"/>
      <c r="BY48" s="84"/>
      <c r="BZ48" s="84"/>
      <c r="CA48" s="84"/>
      <c r="CB48" s="84"/>
      <c r="CC48" s="84"/>
      <c r="CD48" s="84"/>
      <c r="CE48" s="84"/>
      <c r="CF48" s="84"/>
      <c r="CG48" s="84"/>
      <c r="CH48" s="84"/>
      <c r="CI48" s="84"/>
      <c r="CJ48" s="84"/>
      <c r="CK48" s="84">
        <v>1</v>
      </c>
      <c r="CL48" s="84"/>
      <c r="CM48" s="182"/>
      <c r="CN48" s="182"/>
      <c r="CO48" s="182"/>
      <c r="CP48" s="182"/>
      <c r="CQ48" s="182"/>
      <c r="CR48" s="182">
        <v>1</v>
      </c>
      <c r="CS48" s="182"/>
      <c r="CT48" s="3">
        <f t="shared" si="1"/>
        <v>1</v>
      </c>
      <c r="CU48" s="3"/>
      <c r="CV48" s="1" t="s">
        <v>101</v>
      </c>
    </row>
    <row r="49" spans="1:100" x14ac:dyDescent="0.25">
      <c r="A49" t="s">
        <v>92</v>
      </c>
      <c r="B49" s="17" t="s">
        <v>43</v>
      </c>
      <c r="C49" s="19" t="s">
        <v>12</v>
      </c>
      <c r="D49" s="19">
        <v>1</v>
      </c>
      <c r="E49" s="19"/>
      <c r="F49" s="160"/>
      <c r="G49" s="160"/>
      <c r="H49" s="160"/>
      <c r="I49" s="160"/>
      <c r="J49" s="160">
        <v>1</v>
      </c>
      <c r="K49" s="164"/>
      <c r="L49" s="164"/>
      <c r="M49" s="164"/>
      <c r="N49" s="164"/>
      <c r="O49" s="164"/>
      <c r="P49" s="164"/>
      <c r="Q49" s="164"/>
      <c r="R49" s="164"/>
      <c r="S49" s="164"/>
      <c r="T49" s="164"/>
      <c r="U49" s="164"/>
      <c r="V49" s="164"/>
      <c r="W49" s="164"/>
      <c r="X49" s="164"/>
      <c r="Y49" s="165">
        <v>1</v>
      </c>
      <c r="Z49" s="165"/>
      <c r="AA49" s="27"/>
      <c r="AB49" s="27"/>
      <c r="AC49" s="27"/>
      <c r="AD49" s="184">
        <f t="shared" si="0"/>
        <v>0</v>
      </c>
      <c r="AE49" s="27"/>
      <c r="AF49" s="27"/>
      <c r="AG49" s="27"/>
      <c r="AH49" s="27"/>
      <c r="AI49" s="27"/>
      <c r="AJ49" s="27"/>
      <c r="AK49" s="27"/>
      <c r="AL49" s="27"/>
      <c r="AM49" s="27"/>
      <c r="AN49" s="27"/>
      <c r="AO49" s="27"/>
      <c r="AP49" s="27"/>
      <c r="AQ49" s="27"/>
      <c r="AR49" s="27">
        <v>1</v>
      </c>
      <c r="AS49" s="27"/>
      <c r="AT49" s="27"/>
      <c r="AU49" s="105"/>
      <c r="AV49" s="105"/>
      <c r="AW49" s="105"/>
      <c r="AX49" s="105"/>
      <c r="AY49" s="105"/>
      <c r="AZ49" s="105"/>
      <c r="BA49" s="105"/>
      <c r="BB49" s="105"/>
      <c r="BC49" s="105"/>
      <c r="BD49" s="105"/>
      <c r="BE49" s="105">
        <v>1</v>
      </c>
      <c r="BF49" s="105"/>
      <c r="BG49" s="84"/>
      <c r="BH49" s="84"/>
      <c r="BI49" s="84"/>
      <c r="BJ49" s="84"/>
      <c r="BK49" s="84"/>
      <c r="BL49" s="84"/>
      <c r="BM49" s="84"/>
      <c r="BN49" s="84"/>
      <c r="BO49" s="84"/>
      <c r="BP49" s="84"/>
      <c r="BQ49" s="84"/>
      <c r="BR49" s="84"/>
      <c r="BS49" s="84"/>
      <c r="BT49" s="84"/>
      <c r="BU49" s="84"/>
      <c r="BV49" s="84"/>
      <c r="BW49" s="84"/>
      <c r="BX49" s="84"/>
      <c r="BY49" s="84"/>
      <c r="BZ49" s="84"/>
      <c r="CA49" s="84"/>
      <c r="CB49" s="84"/>
      <c r="CC49" s="84"/>
      <c r="CD49" s="84"/>
      <c r="CE49" s="84"/>
      <c r="CF49" s="84"/>
      <c r="CG49" s="84"/>
      <c r="CH49" s="84"/>
      <c r="CI49" s="84"/>
      <c r="CJ49" s="84"/>
      <c r="CK49" s="84">
        <v>1</v>
      </c>
      <c r="CL49" s="84"/>
      <c r="CM49" s="182"/>
      <c r="CN49" s="182"/>
      <c r="CO49" s="182"/>
      <c r="CP49" s="182"/>
      <c r="CQ49" s="182"/>
      <c r="CR49" s="182">
        <v>1</v>
      </c>
      <c r="CS49" s="182"/>
      <c r="CT49" s="3">
        <f t="shared" si="1"/>
        <v>1</v>
      </c>
      <c r="CU49" s="3"/>
      <c r="CV49" s="1"/>
    </row>
    <row r="50" spans="1:100" x14ac:dyDescent="0.25">
      <c r="A50" t="s">
        <v>94</v>
      </c>
      <c r="B50" s="17" t="s">
        <v>46</v>
      </c>
      <c r="C50" s="19" t="s">
        <v>12</v>
      </c>
      <c r="D50" s="19">
        <v>1</v>
      </c>
      <c r="E50" s="19"/>
      <c r="F50" s="160"/>
      <c r="G50" s="160"/>
      <c r="H50" s="160"/>
      <c r="I50" s="160"/>
      <c r="J50" s="160">
        <v>1</v>
      </c>
      <c r="K50" s="164"/>
      <c r="L50" s="164"/>
      <c r="M50" s="164"/>
      <c r="N50" s="164"/>
      <c r="O50" s="164"/>
      <c r="P50" s="164"/>
      <c r="Q50" s="164"/>
      <c r="R50" s="164"/>
      <c r="S50" s="164"/>
      <c r="T50" s="164"/>
      <c r="U50" s="164"/>
      <c r="V50" s="164"/>
      <c r="W50" s="164"/>
      <c r="X50" s="164"/>
      <c r="Y50" s="165">
        <v>1</v>
      </c>
      <c r="Z50" s="165"/>
      <c r="AA50" s="27"/>
      <c r="AB50" s="27"/>
      <c r="AC50" s="27"/>
      <c r="AD50" s="184">
        <f t="shared" si="0"/>
        <v>0</v>
      </c>
      <c r="AE50" s="27"/>
      <c r="AF50" s="27"/>
      <c r="AG50" s="27"/>
      <c r="AH50" s="27"/>
      <c r="AI50" s="27"/>
      <c r="AJ50" s="27"/>
      <c r="AK50" s="27"/>
      <c r="AL50" s="27"/>
      <c r="AM50" s="27"/>
      <c r="AN50" s="27"/>
      <c r="AO50" s="27"/>
      <c r="AP50" s="27"/>
      <c r="AQ50" s="27"/>
      <c r="AR50" s="27">
        <v>1</v>
      </c>
      <c r="AS50" s="27"/>
      <c r="AT50" s="27"/>
      <c r="AU50" s="105"/>
      <c r="AV50" s="105"/>
      <c r="AW50" s="105"/>
      <c r="AX50" s="105"/>
      <c r="AY50" s="105"/>
      <c r="AZ50" s="105"/>
      <c r="BA50" s="105"/>
      <c r="BB50" s="105"/>
      <c r="BC50" s="105"/>
      <c r="BD50" s="105"/>
      <c r="BE50" s="105">
        <v>1</v>
      </c>
      <c r="BF50" s="105"/>
      <c r="BG50" s="84"/>
      <c r="BH50" s="84"/>
      <c r="BI50" s="84"/>
      <c r="BJ50" s="84"/>
      <c r="BK50" s="84"/>
      <c r="BL50" s="84"/>
      <c r="BM50" s="84"/>
      <c r="BN50" s="84"/>
      <c r="BO50" s="84"/>
      <c r="BP50" s="84"/>
      <c r="BQ50" s="84"/>
      <c r="BR50" s="84"/>
      <c r="BS50" s="84"/>
      <c r="BT50" s="84"/>
      <c r="BU50" s="84"/>
      <c r="BV50" s="84"/>
      <c r="BW50" s="84"/>
      <c r="BX50" s="84"/>
      <c r="BY50" s="84"/>
      <c r="BZ50" s="84"/>
      <c r="CA50" s="84"/>
      <c r="CB50" s="84"/>
      <c r="CC50" s="84"/>
      <c r="CD50" s="84"/>
      <c r="CE50" s="84"/>
      <c r="CF50" s="84"/>
      <c r="CG50" s="84"/>
      <c r="CH50" s="84"/>
      <c r="CI50" s="84"/>
      <c r="CJ50" s="84"/>
      <c r="CK50" s="84">
        <v>1</v>
      </c>
      <c r="CL50" s="84"/>
      <c r="CM50" s="182"/>
      <c r="CN50" s="182"/>
      <c r="CO50" s="182"/>
      <c r="CP50" s="182"/>
      <c r="CQ50" s="182"/>
      <c r="CR50" s="182">
        <v>1</v>
      </c>
      <c r="CS50" s="182"/>
      <c r="CT50" s="3">
        <f t="shared" si="1"/>
        <v>1</v>
      </c>
      <c r="CU50" s="3"/>
      <c r="CV50" s="1"/>
    </row>
    <row r="51" spans="1:100" x14ac:dyDescent="0.25">
      <c r="A51" t="s">
        <v>92</v>
      </c>
      <c r="B51" s="17" t="s">
        <v>47</v>
      </c>
      <c r="C51" s="19" t="s">
        <v>12</v>
      </c>
      <c r="D51" s="19">
        <v>1</v>
      </c>
      <c r="E51" s="19"/>
      <c r="F51" s="160"/>
      <c r="G51" s="160"/>
      <c r="H51" s="160"/>
      <c r="I51" s="160"/>
      <c r="J51" s="160">
        <v>1</v>
      </c>
      <c r="K51" s="164"/>
      <c r="L51" s="164"/>
      <c r="M51" s="164"/>
      <c r="N51" s="164"/>
      <c r="O51" s="164"/>
      <c r="P51" s="164"/>
      <c r="Q51" s="164"/>
      <c r="R51" s="164"/>
      <c r="S51" s="164"/>
      <c r="T51" s="164"/>
      <c r="U51" s="164"/>
      <c r="V51" s="164"/>
      <c r="W51" s="164"/>
      <c r="X51" s="164"/>
      <c r="Y51" s="165">
        <v>1</v>
      </c>
      <c r="Z51" s="165"/>
      <c r="AA51" s="27"/>
      <c r="AB51" s="27"/>
      <c r="AC51" s="27"/>
      <c r="AD51" s="184">
        <f t="shared" si="0"/>
        <v>0</v>
      </c>
      <c r="AE51" s="27"/>
      <c r="AF51" s="27"/>
      <c r="AG51" s="27"/>
      <c r="AH51" s="27"/>
      <c r="AI51" s="27"/>
      <c r="AJ51" s="27"/>
      <c r="AK51" s="27"/>
      <c r="AL51" s="27"/>
      <c r="AM51" s="27"/>
      <c r="AN51" s="27"/>
      <c r="AO51" s="27"/>
      <c r="AP51" s="27"/>
      <c r="AQ51" s="27"/>
      <c r="AR51" s="27">
        <v>1</v>
      </c>
      <c r="AS51" s="27"/>
      <c r="AT51" s="27"/>
      <c r="AU51" s="105"/>
      <c r="AV51" s="105"/>
      <c r="AW51" s="105"/>
      <c r="AX51" s="105"/>
      <c r="AY51" s="105"/>
      <c r="AZ51" s="105"/>
      <c r="BA51" s="105"/>
      <c r="BB51" s="105"/>
      <c r="BC51" s="105"/>
      <c r="BD51" s="105"/>
      <c r="BE51" s="105">
        <v>1</v>
      </c>
      <c r="BF51" s="105"/>
      <c r="BG51" s="84"/>
      <c r="BH51" s="84"/>
      <c r="BI51" s="84"/>
      <c r="BJ51" s="84"/>
      <c r="BK51" s="84"/>
      <c r="BL51" s="84"/>
      <c r="BM51" s="84"/>
      <c r="BN51" s="84"/>
      <c r="BO51" s="84"/>
      <c r="BP51" s="84"/>
      <c r="BQ51" s="84"/>
      <c r="BR51" s="84"/>
      <c r="BS51" s="84"/>
      <c r="BT51" s="84"/>
      <c r="BU51" s="84"/>
      <c r="BV51" s="84"/>
      <c r="BW51" s="84"/>
      <c r="BX51" s="84"/>
      <c r="BY51" s="84"/>
      <c r="BZ51" s="84"/>
      <c r="CA51" s="84"/>
      <c r="CB51" s="84"/>
      <c r="CC51" s="84"/>
      <c r="CD51" s="84"/>
      <c r="CE51" s="84"/>
      <c r="CF51" s="84"/>
      <c r="CG51" s="84"/>
      <c r="CH51" s="84"/>
      <c r="CI51" s="84"/>
      <c r="CJ51" s="84"/>
      <c r="CK51" s="84">
        <v>1</v>
      </c>
      <c r="CL51" s="84"/>
      <c r="CM51" s="182"/>
      <c r="CN51" s="182"/>
      <c r="CO51" s="182"/>
      <c r="CP51" s="182"/>
      <c r="CQ51" s="182"/>
      <c r="CR51" s="182">
        <v>1</v>
      </c>
      <c r="CS51" s="182"/>
      <c r="CT51" s="3">
        <f t="shared" si="1"/>
        <v>1</v>
      </c>
      <c r="CU51" s="3"/>
      <c r="CV51" s="1"/>
    </row>
    <row r="52" spans="1:100" x14ac:dyDescent="0.25">
      <c r="A52" t="s">
        <v>93</v>
      </c>
      <c r="B52" s="17" t="s">
        <v>48</v>
      </c>
      <c r="C52" s="19" t="s">
        <v>12</v>
      </c>
      <c r="D52" s="19">
        <v>1</v>
      </c>
      <c r="E52" s="19"/>
      <c r="F52" s="160"/>
      <c r="G52" s="160"/>
      <c r="H52" s="160"/>
      <c r="I52" s="160"/>
      <c r="J52" s="160">
        <v>1</v>
      </c>
      <c r="K52" s="164"/>
      <c r="L52" s="164"/>
      <c r="M52" s="164"/>
      <c r="N52" s="164"/>
      <c r="O52" s="164"/>
      <c r="P52" s="164"/>
      <c r="Q52" s="164"/>
      <c r="R52" s="164"/>
      <c r="S52" s="164"/>
      <c r="T52" s="164"/>
      <c r="U52" s="164"/>
      <c r="V52" s="164"/>
      <c r="W52" s="164"/>
      <c r="X52" s="164"/>
      <c r="Y52" s="165">
        <v>1</v>
      </c>
      <c r="Z52" s="165"/>
      <c r="AA52" s="27"/>
      <c r="AB52" s="27"/>
      <c r="AC52" s="27"/>
      <c r="AD52" s="184">
        <f t="shared" si="0"/>
        <v>0</v>
      </c>
      <c r="AE52" s="27"/>
      <c r="AF52" s="27"/>
      <c r="AG52" s="27"/>
      <c r="AH52" s="27"/>
      <c r="AI52" s="27"/>
      <c r="AJ52" s="27"/>
      <c r="AK52" s="27"/>
      <c r="AL52" s="27"/>
      <c r="AM52" s="27"/>
      <c r="AN52" s="27"/>
      <c r="AO52" s="27"/>
      <c r="AP52" s="27"/>
      <c r="AQ52" s="27"/>
      <c r="AR52" s="27">
        <v>1</v>
      </c>
      <c r="AS52" s="27"/>
      <c r="AT52" s="27"/>
      <c r="AU52" s="105"/>
      <c r="AV52" s="105"/>
      <c r="AW52" s="105"/>
      <c r="AX52" s="105"/>
      <c r="AY52" s="105"/>
      <c r="AZ52" s="105"/>
      <c r="BA52" s="105"/>
      <c r="BB52" s="105"/>
      <c r="BC52" s="105"/>
      <c r="BD52" s="105"/>
      <c r="BE52" s="105">
        <v>1</v>
      </c>
      <c r="BF52" s="105"/>
      <c r="BG52" s="84"/>
      <c r="BH52" s="84"/>
      <c r="BI52" s="84"/>
      <c r="BJ52" s="84"/>
      <c r="BK52" s="84"/>
      <c r="BL52" s="84"/>
      <c r="BM52" s="84"/>
      <c r="BN52" s="84"/>
      <c r="BO52" s="84"/>
      <c r="BP52" s="84"/>
      <c r="BQ52" s="84"/>
      <c r="BR52" s="84"/>
      <c r="BS52" s="84"/>
      <c r="BT52" s="84"/>
      <c r="BU52" s="84"/>
      <c r="BV52" s="84"/>
      <c r="BW52" s="84"/>
      <c r="BX52" s="84"/>
      <c r="BY52" s="84"/>
      <c r="BZ52" s="84"/>
      <c r="CA52" s="84"/>
      <c r="CB52" s="84"/>
      <c r="CC52" s="84"/>
      <c r="CD52" s="84"/>
      <c r="CE52" s="84"/>
      <c r="CF52" s="84"/>
      <c r="CG52" s="84"/>
      <c r="CH52" s="84"/>
      <c r="CI52" s="84"/>
      <c r="CJ52" s="84"/>
      <c r="CK52" s="84">
        <v>1</v>
      </c>
      <c r="CL52" s="84"/>
      <c r="CM52" s="182"/>
      <c r="CN52" s="182"/>
      <c r="CO52" s="182"/>
      <c r="CP52" s="182"/>
      <c r="CQ52" s="182"/>
      <c r="CR52" s="182">
        <v>1</v>
      </c>
      <c r="CS52" s="182"/>
      <c r="CT52" s="3">
        <f t="shared" si="1"/>
        <v>1</v>
      </c>
      <c r="CU52" s="3"/>
      <c r="CV52" s="1"/>
    </row>
    <row r="53" spans="1:100" x14ac:dyDescent="0.25">
      <c r="A53" t="s">
        <v>94</v>
      </c>
      <c r="B53" s="17" t="s">
        <v>49</v>
      </c>
      <c r="C53" s="19" t="s">
        <v>12</v>
      </c>
      <c r="D53" s="19">
        <v>1</v>
      </c>
      <c r="E53" s="19"/>
      <c r="F53" s="160"/>
      <c r="G53" s="160"/>
      <c r="H53" s="160"/>
      <c r="I53" s="160"/>
      <c r="J53" s="160">
        <v>1</v>
      </c>
      <c r="K53" s="164"/>
      <c r="L53" s="164"/>
      <c r="M53" s="164"/>
      <c r="N53" s="164"/>
      <c r="O53" s="164"/>
      <c r="P53" s="164"/>
      <c r="Q53" s="164"/>
      <c r="R53" s="164"/>
      <c r="S53" s="164"/>
      <c r="T53" s="164"/>
      <c r="U53" s="164"/>
      <c r="V53" s="164"/>
      <c r="W53" s="164"/>
      <c r="X53" s="164"/>
      <c r="Y53" s="165">
        <v>1</v>
      </c>
      <c r="Z53" s="165"/>
      <c r="AA53" s="27"/>
      <c r="AB53" s="27"/>
      <c r="AC53" s="27"/>
      <c r="AD53" s="184">
        <f t="shared" si="0"/>
        <v>0</v>
      </c>
      <c r="AE53" s="27"/>
      <c r="AF53" s="27"/>
      <c r="AG53" s="27"/>
      <c r="AH53" s="27"/>
      <c r="AI53" s="27"/>
      <c r="AJ53" s="27"/>
      <c r="AK53" s="27"/>
      <c r="AL53" s="27"/>
      <c r="AM53" s="27"/>
      <c r="AN53" s="27"/>
      <c r="AO53" s="27"/>
      <c r="AP53" s="27"/>
      <c r="AQ53" s="27"/>
      <c r="AR53" s="27">
        <v>1</v>
      </c>
      <c r="AS53" s="27"/>
      <c r="AT53" s="27"/>
      <c r="AU53" s="105"/>
      <c r="AV53" s="105"/>
      <c r="AW53" s="105"/>
      <c r="AX53" s="105"/>
      <c r="AY53" s="105"/>
      <c r="AZ53" s="105"/>
      <c r="BA53" s="105"/>
      <c r="BB53" s="105"/>
      <c r="BC53" s="105"/>
      <c r="BD53" s="105"/>
      <c r="BE53" s="105">
        <v>1</v>
      </c>
      <c r="BF53" s="105"/>
      <c r="BG53" s="84"/>
      <c r="BH53" s="84"/>
      <c r="BI53" s="84"/>
      <c r="BJ53" s="84"/>
      <c r="BK53" s="84"/>
      <c r="BL53" s="84"/>
      <c r="BM53" s="84"/>
      <c r="BN53" s="84"/>
      <c r="BO53" s="84"/>
      <c r="BP53" s="84"/>
      <c r="BQ53" s="84"/>
      <c r="BR53" s="84"/>
      <c r="BS53" s="84"/>
      <c r="BT53" s="84"/>
      <c r="BU53" s="84"/>
      <c r="BV53" s="84"/>
      <c r="BW53" s="84"/>
      <c r="BX53" s="84"/>
      <c r="BY53" s="84"/>
      <c r="BZ53" s="84"/>
      <c r="CA53" s="84"/>
      <c r="CB53" s="84"/>
      <c r="CC53" s="84"/>
      <c r="CD53" s="84"/>
      <c r="CE53" s="84"/>
      <c r="CF53" s="84"/>
      <c r="CG53" s="84"/>
      <c r="CH53" s="84"/>
      <c r="CI53" s="84"/>
      <c r="CJ53" s="84"/>
      <c r="CK53" s="84">
        <v>1</v>
      </c>
      <c r="CL53" s="84"/>
      <c r="CM53" s="182"/>
      <c r="CN53" s="182"/>
      <c r="CO53" s="182"/>
      <c r="CP53" s="182"/>
      <c r="CQ53" s="182"/>
      <c r="CR53" s="182">
        <v>1</v>
      </c>
      <c r="CS53" s="182"/>
      <c r="CT53" s="3">
        <f t="shared" si="1"/>
        <v>1</v>
      </c>
      <c r="CU53" s="3"/>
      <c r="CV53" s="1"/>
    </row>
    <row r="54" spans="1:100" x14ac:dyDescent="0.25">
      <c r="A54" t="s">
        <v>92</v>
      </c>
      <c r="B54" s="17" t="s">
        <v>50</v>
      </c>
      <c r="C54" s="19" t="s">
        <v>12</v>
      </c>
      <c r="D54" s="19">
        <v>1</v>
      </c>
      <c r="E54" s="19"/>
      <c r="F54" s="160"/>
      <c r="G54" s="160"/>
      <c r="H54" s="160"/>
      <c r="I54" s="160"/>
      <c r="J54" s="160">
        <v>1</v>
      </c>
      <c r="K54" s="164"/>
      <c r="L54" s="164"/>
      <c r="M54" s="164"/>
      <c r="N54" s="164"/>
      <c r="O54" s="164"/>
      <c r="P54" s="164"/>
      <c r="Q54" s="164"/>
      <c r="R54" s="164"/>
      <c r="S54" s="164"/>
      <c r="T54" s="164"/>
      <c r="U54" s="164"/>
      <c r="V54" s="164"/>
      <c r="W54" s="164"/>
      <c r="X54" s="164"/>
      <c r="Y54" s="165">
        <v>1</v>
      </c>
      <c r="Z54" s="165"/>
      <c r="AA54" s="27"/>
      <c r="AB54" s="27"/>
      <c r="AC54" s="27"/>
      <c r="AD54" s="184">
        <f t="shared" si="0"/>
        <v>0</v>
      </c>
      <c r="AE54" s="27"/>
      <c r="AF54" s="27"/>
      <c r="AG54" s="27"/>
      <c r="AH54" s="27"/>
      <c r="AI54" s="27"/>
      <c r="AJ54" s="27"/>
      <c r="AK54" s="27"/>
      <c r="AL54" s="27"/>
      <c r="AM54" s="27"/>
      <c r="AN54" s="27"/>
      <c r="AO54" s="27"/>
      <c r="AP54" s="27"/>
      <c r="AQ54" s="27"/>
      <c r="AR54" s="27">
        <v>1</v>
      </c>
      <c r="AS54" s="27"/>
      <c r="AT54" s="27"/>
      <c r="AU54" s="105"/>
      <c r="AV54" s="105"/>
      <c r="AW54" s="105"/>
      <c r="AX54" s="105"/>
      <c r="AY54" s="105"/>
      <c r="AZ54" s="105"/>
      <c r="BA54" s="105"/>
      <c r="BB54" s="105"/>
      <c r="BC54" s="105"/>
      <c r="BD54" s="105"/>
      <c r="BE54" s="105">
        <v>1</v>
      </c>
      <c r="BF54" s="105"/>
      <c r="BG54" s="84"/>
      <c r="BH54" s="84"/>
      <c r="BI54" s="84"/>
      <c r="BJ54" s="84"/>
      <c r="BK54" s="84"/>
      <c r="BL54" s="84"/>
      <c r="BM54" s="84"/>
      <c r="BN54" s="84"/>
      <c r="BO54" s="84"/>
      <c r="BP54" s="84"/>
      <c r="BQ54" s="84"/>
      <c r="BR54" s="84"/>
      <c r="BS54" s="84"/>
      <c r="BT54" s="84"/>
      <c r="BU54" s="84"/>
      <c r="BV54" s="84"/>
      <c r="BW54" s="84"/>
      <c r="BX54" s="84"/>
      <c r="BY54" s="84"/>
      <c r="BZ54" s="84"/>
      <c r="CA54" s="84"/>
      <c r="CB54" s="84"/>
      <c r="CC54" s="84"/>
      <c r="CD54" s="84"/>
      <c r="CE54" s="84"/>
      <c r="CF54" s="84"/>
      <c r="CG54" s="84"/>
      <c r="CH54" s="84"/>
      <c r="CI54" s="84"/>
      <c r="CJ54" s="84"/>
      <c r="CK54" s="84">
        <v>1</v>
      </c>
      <c r="CL54" s="84"/>
      <c r="CM54" s="182"/>
      <c r="CN54" s="182"/>
      <c r="CO54" s="182"/>
      <c r="CP54" s="182"/>
      <c r="CQ54" s="182"/>
      <c r="CR54" s="182">
        <v>1</v>
      </c>
      <c r="CS54" s="182"/>
      <c r="CT54" s="3">
        <f t="shared" si="1"/>
        <v>1</v>
      </c>
      <c r="CU54" s="3"/>
      <c r="CV54" s="1"/>
    </row>
    <row r="55" spans="1:100" x14ac:dyDescent="0.25">
      <c r="A55" t="s">
        <v>94</v>
      </c>
      <c r="B55" s="17" t="s">
        <v>51</v>
      </c>
      <c r="C55" s="19" t="s">
        <v>12</v>
      </c>
      <c r="D55" s="19">
        <v>1</v>
      </c>
      <c r="E55" s="19"/>
      <c r="F55" s="160"/>
      <c r="G55" s="160"/>
      <c r="H55" s="160"/>
      <c r="I55" s="160"/>
      <c r="J55" s="160">
        <v>1</v>
      </c>
      <c r="K55" s="164"/>
      <c r="L55" s="164"/>
      <c r="M55" s="164"/>
      <c r="N55" s="164"/>
      <c r="O55" s="164"/>
      <c r="P55" s="164"/>
      <c r="Q55" s="164"/>
      <c r="R55" s="164"/>
      <c r="S55" s="164"/>
      <c r="T55" s="164"/>
      <c r="U55" s="164"/>
      <c r="V55" s="164"/>
      <c r="W55" s="164"/>
      <c r="X55" s="164"/>
      <c r="Y55" s="165">
        <v>1</v>
      </c>
      <c r="Z55" s="165"/>
      <c r="AA55" s="27"/>
      <c r="AB55" s="27"/>
      <c r="AC55" s="27"/>
      <c r="AD55" s="184">
        <f t="shared" si="0"/>
        <v>0</v>
      </c>
      <c r="AE55" s="27"/>
      <c r="AF55" s="27"/>
      <c r="AG55" s="27"/>
      <c r="AH55" s="27"/>
      <c r="AI55" s="27"/>
      <c r="AJ55" s="27"/>
      <c r="AK55" s="27"/>
      <c r="AL55" s="27"/>
      <c r="AM55" s="27"/>
      <c r="AN55" s="27"/>
      <c r="AO55" s="27"/>
      <c r="AP55" s="27"/>
      <c r="AQ55" s="27"/>
      <c r="AR55" s="27">
        <v>1</v>
      </c>
      <c r="AS55" s="27"/>
      <c r="AT55" s="27"/>
      <c r="AU55" s="105"/>
      <c r="AV55" s="105"/>
      <c r="AW55" s="105"/>
      <c r="AX55" s="105"/>
      <c r="AY55" s="105"/>
      <c r="AZ55" s="105"/>
      <c r="BA55" s="105"/>
      <c r="BB55" s="105"/>
      <c r="BC55" s="105"/>
      <c r="BD55" s="105"/>
      <c r="BE55" s="105">
        <v>1</v>
      </c>
      <c r="BF55" s="105"/>
      <c r="BG55" s="84"/>
      <c r="BH55" s="84"/>
      <c r="BI55" s="84"/>
      <c r="BJ55" s="84"/>
      <c r="BK55" s="84"/>
      <c r="BL55" s="84"/>
      <c r="BM55" s="84"/>
      <c r="BN55" s="84"/>
      <c r="BO55" s="84"/>
      <c r="BP55" s="84"/>
      <c r="BQ55" s="84"/>
      <c r="BR55" s="84"/>
      <c r="BS55" s="84"/>
      <c r="BT55" s="84"/>
      <c r="BU55" s="84"/>
      <c r="BV55" s="84"/>
      <c r="BW55" s="84"/>
      <c r="BX55" s="84"/>
      <c r="BY55" s="84"/>
      <c r="BZ55" s="84"/>
      <c r="CA55" s="84"/>
      <c r="CB55" s="84"/>
      <c r="CC55" s="84"/>
      <c r="CD55" s="84"/>
      <c r="CE55" s="84"/>
      <c r="CF55" s="84"/>
      <c r="CG55" s="84"/>
      <c r="CH55" s="84"/>
      <c r="CI55" s="84"/>
      <c r="CJ55" s="84"/>
      <c r="CK55" s="84">
        <v>1</v>
      </c>
      <c r="CL55" s="84"/>
      <c r="CM55" s="182"/>
      <c r="CN55" s="182"/>
      <c r="CO55" s="182"/>
      <c r="CP55" s="182"/>
      <c r="CQ55" s="182"/>
      <c r="CR55" s="182">
        <v>1</v>
      </c>
      <c r="CS55" s="182"/>
      <c r="CT55" s="3">
        <f t="shared" si="1"/>
        <v>1</v>
      </c>
      <c r="CU55" s="3"/>
      <c r="CV55" s="1"/>
    </row>
    <row r="56" spans="1:100" x14ac:dyDescent="0.25">
      <c r="A56" t="s">
        <v>92</v>
      </c>
      <c r="B56" s="17" t="s">
        <v>52</v>
      </c>
      <c r="C56" s="19" t="s">
        <v>12</v>
      </c>
      <c r="D56" s="19">
        <v>1</v>
      </c>
      <c r="E56" s="19"/>
      <c r="F56" s="160"/>
      <c r="G56" s="160"/>
      <c r="H56" s="160"/>
      <c r="I56" s="160"/>
      <c r="J56" s="160">
        <v>1</v>
      </c>
      <c r="K56" s="164"/>
      <c r="L56" s="164"/>
      <c r="M56" s="164"/>
      <c r="N56" s="164"/>
      <c r="O56" s="164"/>
      <c r="P56" s="164"/>
      <c r="Q56" s="164"/>
      <c r="R56" s="164"/>
      <c r="S56" s="164"/>
      <c r="T56" s="164"/>
      <c r="U56" s="164"/>
      <c r="V56" s="164"/>
      <c r="W56" s="164"/>
      <c r="X56" s="164"/>
      <c r="Y56" s="165">
        <v>1</v>
      </c>
      <c r="Z56" s="165"/>
      <c r="AA56" s="27"/>
      <c r="AB56" s="27"/>
      <c r="AC56" s="27"/>
      <c r="AD56" s="184">
        <f t="shared" si="0"/>
        <v>0</v>
      </c>
      <c r="AE56" s="27"/>
      <c r="AF56" s="27"/>
      <c r="AG56" s="27"/>
      <c r="AH56" s="27"/>
      <c r="AI56" s="27"/>
      <c r="AJ56" s="27"/>
      <c r="AK56" s="27"/>
      <c r="AL56" s="27"/>
      <c r="AM56" s="27"/>
      <c r="AN56" s="27"/>
      <c r="AO56" s="27"/>
      <c r="AP56" s="27"/>
      <c r="AQ56" s="27"/>
      <c r="AR56" s="27">
        <v>1</v>
      </c>
      <c r="AS56" s="27"/>
      <c r="AT56" s="27"/>
      <c r="AU56" s="105"/>
      <c r="AV56" s="105"/>
      <c r="AW56" s="105"/>
      <c r="AX56" s="105"/>
      <c r="AY56" s="105"/>
      <c r="AZ56" s="105"/>
      <c r="BA56" s="105"/>
      <c r="BB56" s="105"/>
      <c r="BC56" s="105"/>
      <c r="BD56" s="105"/>
      <c r="BE56" s="105">
        <v>1</v>
      </c>
      <c r="BF56" s="105"/>
      <c r="BG56" s="84"/>
      <c r="BH56" s="84"/>
      <c r="BI56" s="84"/>
      <c r="BJ56" s="84"/>
      <c r="BK56" s="84"/>
      <c r="BL56" s="84"/>
      <c r="BM56" s="84"/>
      <c r="BN56" s="84"/>
      <c r="BO56" s="84"/>
      <c r="BP56" s="84"/>
      <c r="BQ56" s="84"/>
      <c r="BR56" s="84"/>
      <c r="BS56" s="84"/>
      <c r="BT56" s="84"/>
      <c r="BU56" s="84"/>
      <c r="BV56" s="84"/>
      <c r="BW56" s="84"/>
      <c r="BX56" s="84"/>
      <c r="BY56" s="84"/>
      <c r="BZ56" s="84"/>
      <c r="CA56" s="84"/>
      <c r="CB56" s="84"/>
      <c r="CC56" s="84"/>
      <c r="CD56" s="84"/>
      <c r="CE56" s="84"/>
      <c r="CF56" s="84"/>
      <c r="CG56" s="84"/>
      <c r="CH56" s="84"/>
      <c r="CI56" s="84"/>
      <c r="CJ56" s="84"/>
      <c r="CK56" s="84">
        <v>1</v>
      </c>
      <c r="CL56" s="84"/>
      <c r="CM56" s="182"/>
      <c r="CN56" s="182"/>
      <c r="CO56" s="182"/>
      <c r="CP56" s="182"/>
      <c r="CQ56" s="182"/>
      <c r="CR56" s="182">
        <v>1</v>
      </c>
      <c r="CS56" s="182"/>
      <c r="CT56" s="3">
        <f t="shared" si="1"/>
        <v>1</v>
      </c>
      <c r="CU56" s="3"/>
      <c r="CV56" s="1"/>
    </row>
    <row r="57" spans="1:100" x14ac:dyDescent="0.25">
      <c r="A57" t="s">
        <v>93</v>
      </c>
      <c r="B57" s="17" t="s">
        <v>56</v>
      </c>
      <c r="C57" s="19" t="s">
        <v>12</v>
      </c>
      <c r="D57" s="19">
        <v>1</v>
      </c>
      <c r="E57" s="19"/>
      <c r="F57" s="160"/>
      <c r="G57" s="160"/>
      <c r="H57" s="160"/>
      <c r="I57" s="160"/>
      <c r="J57" s="160">
        <v>1</v>
      </c>
      <c r="K57" s="164"/>
      <c r="L57" s="164"/>
      <c r="M57" s="164"/>
      <c r="N57" s="164"/>
      <c r="O57" s="164"/>
      <c r="P57" s="164"/>
      <c r="Q57" s="164"/>
      <c r="R57" s="164"/>
      <c r="S57" s="164"/>
      <c r="T57" s="164"/>
      <c r="U57" s="164"/>
      <c r="V57" s="164"/>
      <c r="W57" s="164"/>
      <c r="X57" s="164"/>
      <c r="Y57" s="165">
        <v>1</v>
      </c>
      <c r="Z57" s="165"/>
      <c r="AA57" s="27"/>
      <c r="AB57" s="27"/>
      <c r="AC57" s="27"/>
      <c r="AD57" s="184">
        <f t="shared" si="0"/>
        <v>0</v>
      </c>
      <c r="AE57" s="27"/>
      <c r="AF57" s="27"/>
      <c r="AG57" s="27"/>
      <c r="AH57" s="27"/>
      <c r="AI57" s="27"/>
      <c r="AJ57" s="27"/>
      <c r="AK57" s="27"/>
      <c r="AL57" s="27"/>
      <c r="AM57" s="27"/>
      <c r="AN57" s="27"/>
      <c r="AO57" s="27"/>
      <c r="AP57" s="27"/>
      <c r="AQ57" s="27"/>
      <c r="AR57" s="27">
        <v>1</v>
      </c>
      <c r="AS57" s="27"/>
      <c r="AT57" s="27"/>
      <c r="AU57" s="105"/>
      <c r="AV57" s="105"/>
      <c r="AW57" s="105"/>
      <c r="AX57" s="105"/>
      <c r="AY57" s="105"/>
      <c r="AZ57" s="105"/>
      <c r="BA57" s="105"/>
      <c r="BB57" s="105"/>
      <c r="BC57" s="105"/>
      <c r="BD57" s="105"/>
      <c r="BE57" s="105">
        <v>1</v>
      </c>
      <c r="BF57" s="105"/>
      <c r="BG57" s="84"/>
      <c r="BH57" s="84"/>
      <c r="BI57" s="84"/>
      <c r="BJ57" s="84"/>
      <c r="BK57" s="84"/>
      <c r="BL57" s="84"/>
      <c r="BM57" s="84"/>
      <c r="BN57" s="84"/>
      <c r="BO57" s="84"/>
      <c r="BP57" s="84"/>
      <c r="BQ57" s="84"/>
      <c r="BR57" s="84"/>
      <c r="BS57" s="84"/>
      <c r="BT57" s="84"/>
      <c r="BU57" s="84"/>
      <c r="BV57" s="84"/>
      <c r="BW57" s="84"/>
      <c r="BX57" s="84"/>
      <c r="BY57" s="84"/>
      <c r="BZ57" s="84"/>
      <c r="CA57" s="84"/>
      <c r="CB57" s="84"/>
      <c r="CC57" s="84"/>
      <c r="CD57" s="84"/>
      <c r="CE57" s="84"/>
      <c r="CF57" s="84"/>
      <c r="CG57" s="84"/>
      <c r="CH57" s="84"/>
      <c r="CI57" s="84"/>
      <c r="CJ57" s="84"/>
      <c r="CK57" s="84">
        <v>1</v>
      </c>
      <c r="CL57" s="84"/>
      <c r="CM57" s="182"/>
      <c r="CN57" s="182"/>
      <c r="CO57" s="182"/>
      <c r="CP57" s="182"/>
      <c r="CQ57" s="182"/>
      <c r="CR57" s="182">
        <v>1</v>
      </c>
      <c r="CS57" s="182"/>
      <c r="CT57" s="3">
        <f t="shared" ref="CT57:CT86" si="2">SUMPRODUCT(Y$2:CS$2,Y57:CS57)</f>
        <v>1</v>
      </c>
      <c r="CU57" s="3"/>
      <c r="CV57" s="1" t="s">
        <v>88</v>
      </c>
    </row>
    <row r="58" spans="1:100" x14ac:dyDescent="0.25">
      <c r="A58" t="s">
        <v>94</v>
      </c>
      <c r="B58" s="17" t="s">
        <v>57</v>
      </c>
      <c r="C58" s="19" t="s">
        <v>12</v>
      </c>
      <c r="D58" s="19">
        <v>1</v>
      </c>
      <c r="E58" s="19"/>
      <c r="F58" s="160"/>
      <c r="G58" s="160"/>
      <c r="H58" s="160"/>
      <c r="I58" s="160"/>
      <c r="J58" s="160">
        <v>1</v>
      </c>
      <c r="K58" s="164"/>
      <c r="L58" s="164"/>
      <c r="M58" s="164"/>
      <c r="N58" s="164"/>
      <c r="O58" s="164"/>
      <c r="P58" s="164"/>
      <c r="Q58" s="164"/>
      <c r="R58" s="164"/>
      <c r="S58" s="164"/>
      <c r="T58" s="164"/>
      <c r="U58" s="164"/>
      <c r="V58" s="164"/>
      <c r="W58" s="164"/>
      <c r="X58" s="164"/>
      <c r="Y58" s="165">
        <v>1</v>
      </c>
      <c r="Z58" s="165"/>
      <c r="AA58" s="27"/>
      <c r="AB58" s="27"/>
      <c r="AC58" s="27"/>
      <c r="AD58" s="184">
        <f t="shared" si="0"/>
        <v>0</v>
      </c>
      <c r="AE58" s="27"/>
      <c r="AF58" s="27"/>
      <c r="AG58" s="27"/>
      <c r="AH58" s="27"/>
      <c r="AI58" s="27"/>
      <c r="AJ58" s="27"/>
      <c r="AK58" s="27"/>
      <c r="AL58" s="27"/>
      <c r="AM58" s="27"/>
      <c r="AN58" s="27"/>
      <c r="AO58" s="27"/>
      <c r="AP58" s="27"/>
      <c r="AQ58" s="27"/>
      <c r="AR58" s="27">
        <v>1</v>
      </c>
      <c r="AS58" s="27"/>
      <c r="AT58" s="27"/>
      <c r="AU58" s="105"/>
      <c r="AV58" s="105"/>
      <c r="AW58" s="105"/>
      <c r="AX58" s="105"/>
      <c r="AY58" s="105"/>
      <c r="AZ58" s="105"/>
      <c r="BA58" s="105"/>
      <c r="BB58" s="105"/>
      <c r="BC58" s="105"/>
      <c r="BD58" s="105"/>
      <c r="BE58" s="105">
        <v>1</v>
      </c>
      <c r="BF58" s="105"/>
      <c r="BG58" s="84"/>
      <c r="BH58" s="84"/>
      <c r="BI58" s="84"/>
      <c r="BJ58" s="84"/>
      <c r="BK58" s="84"/>
      <c r="BL58" s="84"/>
      <c r="BM58" s="84"/>
      <c r="BN58" s="84"/>
      <c r="BO58" s="84"/>
      <c r="BP58" s="84"/>
      <c r="BQ58" s="84"/>
      <c r="BR58" s="84"/>
      <c r="BS58" s="84"/>
      <c r="BT58" s="84"/>
      <c r="BU58" s="84"/>
      <c r="BV58" s="84"/>
      <c r="BW58" s="84"/>
      <c r="BX58" s="84"/>
      <c r="BY58" s="84"/>
      <c r="BZ58" s="84"/>
      <c r="CA58" s="84"/>
      <c r="CB58" s="84"/>
      <c r="CC58" s="84"/>
      <c r="CD58" s="84"/>
      <c r="CE58" s="84"/>
      <c r="CF58" s="84"/>
      <c r="CG58" s="84"/>
      <c r="CH58" s="84"/>
      <c r="CI58" s="84"/>
      <c r="CJ58" s="84"/>
      <c r="CK58" s="84">
        <v>1</v>
      </c>
      <c r="CL58" s="84"/>
      <c r="CM58" s="182"/>
      <c r="CN58" s="182"/>
      <c r="CO58" s="182"/>
      <c r="CP58" s="182"/>
      <c r="CQ58" s="182"/>
      <c r="CR58" s="182">
        <v>1</v>
      </c>
      <c r="CS58" s="182"/>
      <c r="CT58" s="3">
        <f t="shared" si="2"/>
        <v>1</v>
      </c>
      <c r="CU58" s="3"/>
      <c r="CV58" s="1"/>
    </row>
    <row r="59" spans="1:100" x14ac:dyDescent="0.25">
      <c r="A59" t="s">
        <v>92</v>
      </c>
      <c r="B59" s="17" t="s">
        <v>67</v>
      </c>
      <c r="C59" s="19" t="s">
        <v>26</v>
      </c>
      <c r="D59" s="19">
        <v>1</v>
      </c>
      <c r="E59" s="19"/>
      <c r="F59" s="160"/>
      <c r="G59" s="160"/>
      <c r="H59" s="160"/>
      <c r="I59" s="160"/>
      <c r="J59" s="160">
        <v>1</v>
      </c>
      <c r="K59" s="164"/>
      <c r="L59" s="164"/>
      <c r="M59" s="164"/>
      <c r="N59" s="164"/>
      <c r="O59" s="164"/>
      <c r="P59" s="164"/>
      <c r="Q59" s="164"/>
      <c r="R59" s="164"/>
      <c r="S59" s="164"/>
      <c r="T59" s="164"/>
      <c r="U59" s="164"/>
      <c r="V59" s="164"/>
      <c r="W59" s="164"/>
      <c r="X59" s="164"/>
      <c r="Y59" s="165">
        <v>1</v>
      </c>
      <c r="Z59" s="165"/>
      <c r="AA59" s="27"/>
      <c r="AB59" s="27"/>
      <c r="AC59" s="27"/>
      <c r="AD59" s="184">
        <f t="shared" si="0"/>
        <v>0</v>
      </c>
      <c r="AE59" s="27"/>
      <c r="AF59" s="27"/>
      <c r="AG59" s="27"/>
      <c r="AH59" s="27"/>
      <c r="AI59" s="27"/>
      <c r="AJ59" s="27"/>
      <c r="AK59" s="27"/>
      <c r="AL59" s="27"/>
      <c r="AM59" s="27"/>
      <c r="AN59" s="27"/>
      <c r="AO59" s="27"/>
      <c r="AP59" s="27"/>
      <c r="AQ59" s="27"/>
      <c r="AR59" s="27">
        <v>1</v>
      </c>
      <c r="AS59" s="27"/>
      <c r="AT59" s="27"/>
      <c r="AU59" s="105"/>
      <c r="AV59" s="105"/>
      <c r="AW59" s="105"/>
      <c r="AX59" s="105"/>
      <c r="AY59" s="105"/>
      <c r="AZ59" s="105"/>
      <c r="BA59" s="105"/>
      <c r="BB59" s="105"/>
      <c r="BC59" s="105"/>
      <c r="BD59" s="105"/>
      <c r="BE59" s="105">
        <v>1</v>
      </c>
      <c r="BF59" s="105"/>
      <c r="BG59" s="84"/>
      <c r="BH59" s="84"/>
      <c r="BI59" s="84"/>
      <c r="BJ59" s="84"/>
      <c r="BK59" s="84"/>
      <c r="BL59" s="84"/>
      <c r="BM59" s="84"/>
      <c r="BN59" s="84"/>
      <c r="BO59" s="84"/>
      <c r="BP59" s="84"/>
      <c r="BQ59" s="84"/>
      <c r="BR59" s="84"/>
      <c r="BS59" s="84"/>
      <c r="BT59" s="84"/>
      <c r="BU59" s="84"/>
      <c r="BV59" s="84"/>
      <c r="BW59" s="84"/>
      <c r="BX59" s="84"/>
      <c r="BY59" s="84"/>
      <c r="BZ59" s="84"/>
      <c r="CA59" s="84"/>
      <c r="CB59" s="84"/>
      <c r="CC59" s="84"/>
      <c r="CD59" s="84"/>
      <c r="CE59" s="84"/>
      <c r="CF59" s="84"/>
      <c r="CG59" s="84"/>
      <c r="CH59" s="84"/>
      <c r="CI59" s="84"/>
      <c r="CJ59" s="84"/>
      <c r="CK59" s="84">
        <v>1</v>
      </c>
      <c r="CL59" s="84"/>
      <c r="CM59" s="182"/>
      <c r="CN59" s="182"/>
      <c r="CO59" s="182"/>
      <c r="CP59" s="182"/>
      <c r="CQ59" s="182"/>
      <c r="CR59" s="182">
        <v>1</v>
      </c>
      <c r="CS59" s="182"/>
      <c r="CT59" s="3">
        <f t="shared" si="2"/>
        <v>1</v>
      </c>
      <c r="CU59" s="3"/>
      <c r="CV59" s="1" t="s">
        <v>102</v>
      </c>
    </row>
    <row r="60" spans="1:100" x14ac:dyDescent="0.25">
      <c r="A60" t="s">
        <v>94</v>
      </c>
      <c r="B60" s="17" t="s">
        <v>68</v>
      </c>
      <c r="C60" s="19" t="s">
        <v>12</v>
      </c>
      <c r="D60" s="19">
        <v>1</v>
      </c>
      <c r="E60" s="19"/>
      <c r="F60" s="160"/>
      <c r="G60" s="160"/>
      <c r="H60" s="160"/>
      <c r="I60" s="160"/>
      <c r="J60" s="160">
        <v>1</v>
      </c>
      <c r="K60" s="164"/>
      <c r="L60" s="164"/>
      <c r="M60" s="164"/>
      <c r="N60" s="164"/>
      <c r="O60" s="164"/>
      <c r="P60" s="164"/>
      <c r="Q60" s="164"/>
      <c r="R60" s="164"/>
      <c r="S60" s="164"/>
      <c r="T60" s="164"/>
      <c r="U60" s="164"/>
      <c r="V60" s="164"/>
      <c r="W60" s="164"/>
      <c r="X60" s="164"/>
      <c r="Y60" s="165">
        <v>1</v>
      </c>
      <c r="Z60" s="165"/>
      <c r="AA60" s="27"/>
      <c r="AB60" s="27"/>
      <c r="AC60" s="27"/>
      <c r="AD60" s="184">
        <f t="shared" si="0"/>
        <v>0</v>
      </c>
      <c r="AE60" s="27"/>
      <c r="AF60" s="27"/>
      <c r="AG60" s="27"/>
      <c r="AH60" s="27"/>
      <c r="AI60" s="27"/>
      <c r="AJ60" s="27"/>
      <c r="AK60" s="27"/>
      <c r="AL60" s="27"/>
      <c r="AM60" s="27"/>
      <c r="AN60" s="27"/>
      <c r="AO60" s="27"/>
      <c r="AP60" s="27"/>
      <c r="AQ60" s="27"/>
      <c r="AR60" s="27">
        <v>1</v>
      </c>
      <c r="AS60" s="27"/>
      <c r="AT60" s="27"/>
      <c r="AU60" s="105"/>
      <c r="AV60" s="105"/>
      <c r="AW60" s="105"/>
      <c r="AX60" s="105"/>
      <c r="AY60" s="105"/>
      <c r="AZ60" s="105"/>
      <c r="BA60" s="105"/>
      <c r="BB60" s="105"/>
      <c r="BC60" s="105"/>
      <c r="BD60" s="105"/>
      <c r="BE60" s="105">
        <v>1</v>
      </c>
      <c r="BF60" s="105"/>
      <c r="BG60" s="84"/>
      <c r="BH60" s="84"/>
      <c r="BI60" s="84"/>
      <c r="BJ60" s="84"/>
      <c r="BK60" s="84"/>
      <c r="BL60" s="84"/>
      <c r="BM60" s="84"/>
      <c r="BN60" s="84"/>
      <c r="BO60" s="84"/>
      <c r="BP60" s="84"/>
      <c r="BQ60" s="84"/>
      <c r="BR60" s="84"/>
      <c r="BS60" s="84"/>
      <c r="BT60" s="84"/>
      <c r="BU60" s="84"/>
      <c r="BV60" s="84"/>
      <c r="BW60" s="84"/>
      <c r="BX60" s="84"/>
      <c r="BY60" s="84"/>
      <c r="BZ60" s="84"/>
      <c r="CA60" s="84"/>
      <c r="CB60" s="84"/>
      <c r="CC60" s="84"/>
      <c r="CD60" s="84"/>
      <c r="CE60" s="84"/>
      <c r="CF60" s="84"/>
      <c r="CG60" s="84"/>
      <c r="CH60" s="84"/>
      <c r="CI60" s="84"/>
      <c r="CJ60" s="84"/>
      <c r="CK60" s="84">
        <v>1</v>
      </c>
      <c r="CL60" s="84"/>
      <c r="CM60" s="182"/>
      <c r="CN60" s="182"/>
      <c r="CO60" s="182"/>
      <c r="CP60" s="182"/>
      <c r="CQ60" s="182"/>
      <c r="CR60" s="182">
        <v>1</v>
      </c>
      <c r="CS60" s="182"/>
      <c r="CT60" s="3">
        <f t="shared" si="2"/>
        <v>1</v>
      </c>
      <c r="CU60" s="3"/>
      <c r="CV60" s="1"/>
    </row>
    <row r="61" spans="1:100" x14ac:dyDescent="0.25">
      <c r="A61" t="s">
        <v>92</v>
      </c>
      <c r="B61" s="17" t="s">
        <v>73</v>
      </c>
      <c r="C61" s="19" t="s">
        <v>12</v>
      </c>
      <c r="D61" s="19">
        <v>1</v>
      </c>
      <c r="E61" s="19"/>
      <c r="F61" s="160"/>
      <c r="G61" s="160"/>
      <c r="H61" s="160"/>
      <c r="I61" s="160"/>
      <c r="J61" s="160">
        <v>1</v>
      </c>
      <c r="K61" s="164"/>
      <c r="L61" s="164"/>
      <c r="M61" s="164"/>
      <c r="N61" s="164"/>
      <c r="O61" s="164"/>
      <c r="P61" s="164"/>
      <c r="Q61" s="164"/>
      <c r="R61" s="164"/>
      <c r="S61" s="164"/>
      <c r="T61" s="164"/>
      <c r="U61" s="164"/>
      <c r="V61" s="164"/>
      <c r="W61" s="164"/>
      <c r="X61" s="164"/>
      <c r="Y61" s="165">
        <v>1</v>
      </c>
      <c r="Z61" s="165"/>
      <c r="AA61" s="27"/>
      <c r="AB61" s="27"/>
      <c r="AC61" s="27"/>
      <c r="AD61" s="184">
        <f t="shared" si="0"/>
        <v>0</v>
      </c>
      <c r="AE61" s="27"/>
      <c r="AF61" s="27"/>
      <c r="AG61" s="27"/>
      <c r="AH61" s="27"/>
      <c r="AI61" s="27"/>
      <c r="AJ61" s="27"/>
      <c r="AK61" s="27"/>
      <c r="AL61" s="27"/>
      <c r="AM61" s="27"/>
      <c r="AN61" s="27"/>
      <c r="AO61" s="27"/>
      <c r="AP61" s="27"/>
      <c r="AQ61" s="27"/>
      <c r="AR61" s="27">
        <v>1</v>
      </c>
      <c r="AS61" s="27"/>
      <c r="AT61" s="27"/>
      <c r="AU61" s="105"/>
      <c r="AV61" s="105"/>
      <c r="AW61" s="105"/>
      <c r="AX61" s="105"/>
      <c r="AY61" s="105"/>
      <c r="AZ61" s="105"/>
      <c r="BA61" s="105"/>
      <c r="BB61" s="105"/>
      <c r="BC61" s="105"/>
      <c r="BD61" s="105"/>
      <c r="BE61" s="105">
        <v>1</v>
      </c>
      <c r="BF61" s="105"/>
      <c r="BG61" s="84"/>
      <c r="BH61" s="84"/>
      <c r="BI61" s="84"/>
      <c r="BJ61" s="84"/>
      <c r="BK61" s="84"/>
      <c r="BL61" s="84"/>
      <c r="BM61" s="84"/>
      <c r="BN61" s="84"/>
      <c r="BO61" s="84"/>
      <c r="BP61" s="84"/>
      <c r="BQ61" s="84"/>
      <c r="BR61" s="84"/>
      <c r="BS61" s="84"/>
      <c r="BT61" s="84"/>
      <c r="BU61" s="84"/>
      <c r="BV61" s="84"/>
      <c r="BW61" s="84"/>
      <c r="BX61" s="84"/>
      <c r="BY61" s="84"/>
      <c r="BZ61" s="84"/>
      <c r="CA61" s="84"/>
      <c r="CB61" s="84"/>
      <c r="CC61" s="84"/>
      <c r="CD61" s="84"/>
      <c r="CE61" s="84"/>
      <c r="CF61" s="84"/>
      <c r="CG61" s="84"/>
      <c r="CH61" s="84"/>
      <c r="CI61" s="84"/>
      <c r="CJ61" s="84"/>
      <c r="CK61" s="84">
        <v>1</v>
      </c>
      <c r="CL61" s="84"/>
      <c r="CM61" s="182"/>
      <c r="CN61" s="182"/>
      <c r="CO61" s="182"/>
      <c r="CP61" s="182"/>
      <c r="CQ61" s="182"/>
      <c r="CR61" s="182">
        <v>1</v>
      </c>
      <c r="CS61" s="182"/>
      <c r="CT61" s="3">
        <f t="shared" si="2"/>
        <v>1</v>
      </c>
      <c r="CU61" s="3"/>
      <c r="CV61" s="1"/>
    </row>
    <row r="62" spans="1:100" x14ac:dyDescent="0.25">
      <c r="A62" t="s">
        <v>93</v>
      </c>
      <c r="B62" s="17" t="s">
        <v>74</v>
      </c>
      <c r="C62" s="18" t="s">
        <v>12</v>
      </c>
      <c r="D62" s="19">
        <v>1</v>
      </c>
      <c r="E62" s="19"/>
      <c r="F62" s="160"/>
      <c r="G62" s="160"/>
      <c r="H62" s="160"/>
      <c r="I62" s="160"/>
      <c r="J62" s="160">
        <v>1</v>
      </c>
      <c r="K62" s="164"/>
      <c r="L62" s="164"/>
      <c r="M62" s="164"/>
      <c r="N62" s="164"/>
      <c r="O62" s="164"/>
      <c r="P62" s="164"/>
      <c r="Q62" s="164"/>
      <c r="R62" s="164"/>
      <c r="S62" s="164"/>
      <c r="T62" s="164"/>
      <c r="U62" s="164"/>
      <c r="V62" s="164"/>
      <c r="W62" s="164"/>
      <c r="X62" s="164"/>
      <c r="Y62" s="165">
        <v>1</v>
      </c>
      <c r="Z62" s="165"/>
      <c r="AA62" s="27"/>
      <c r="AB62" s="27"/>
      <c r="AC62" s="27"/>
      <c r="AD62" s="184">
        <f t="shared" si="0"/>
        <v>0</v>
      </c>
      <c r="AE62" s="27"/>
      <c r="AF62" s="27"/>
      <c r="AG62" s="27"/>
      <c r="AH62" s="27"/>
      <c r="AI62" s="27"/>
      <c r="AJ62" s="27"/>
      <c r="AK62" s="27"/>
      <c r="AL62" s="27"/>
      <c r="AM62" s="27"/>
      <c r="AN62" s="27"/>
      <c r="AO62" s="27"/>
      <c r="AP62" s="27"/>
      <c r="AQ62" s="27"/>
      <c r="AR62" s="27">
        <v>1</v>
      </c>
      <c r="AS62" s="27"/>
      <c r="AT62" s="27"/>
      <c r="AU62" s="105"/>
      <c r="AV62" s="105"/>
      <c r="AW62" s="105"/>
      <c r="AX62" s="105"/>
      <c r="AY62" s="105"/>
      <c r="AZ62" s="105"/>
      <c r="BA62" s="105"/>
      <c r="BB62" s="105"/>
      <c r="BC62" s="105"/>
      <c r="BD62" s="105"/>
      <c r="BE62" s="105">
        <v>1</v>
      </c>
      <c r="BF62" s="105"/>
      <c r="BG62" s="84"/>
      <c r="BH62" s="84"/>
      <c r="BI62" s="84"/>
      <c r="BJ62" s="84"/>
      <c r="BK62" s="84"/>
      <c r="BL62" s="84"/>
      <c r="BM62" s="84"/>
      <c r="BN62" s="84"/>
      <c r="BO62" s="84"/>
      <c r="BP62" s="84"/>
      <c r="BQ62" s="84"/>
      <c r="BR62" s="84"/>
      <c r="BS62" s="84"/>
      <c r="BT62" s="84"/>
      <c r="BU62" s="84"/>
      <c r="BV62" s="84"/>
      <c r="BW62" s="84"/>
      <c r="BX62" s="84"/>
      <c r="BY62" s="84"/>
      <c r="BZ62" s="84"/>
      <c r="CA62" s="84"/>
      <c r="CB62" s="84"/>
      <c r="CC62" s="84"/>
      <c r="CD62" s="84"/>
      <c r="CE62" s="84"/>
      <c r="CF62" s="84"/>
      <c r="CG62" s="84"/>
      <c r="CH62" s="84"/>
      <c r="CI62" s="84"/>
      <c r="CJ62" s="84"/>
      <c r="CK62" s="84">
        <v>1</v>
      </c>
      <c r="CL62" s="84"/>
      <c r="CM62" s="182"/>
      <c r="CN62" s="182"/>
      <c r="CO62" s="182"/>
      <c r="CP62" s="182"/>
      <c r="CQ62" s="182"/>
      <c r="CR62" s="182">
        <v>1</v>
      </c>
      <c r="CS62" s="182"/>
      <c r="CT62" s="3">
        <f t="shared" si="2"/>
        <v>1</v>
      </c>
      <c r="CU62" s="3"/>
      <c r="CV62" s="1"/>
    </row>
    <row r="63" spans="1:100" x14ac:dyDescent="0.25">
      <c r="A63" t="s">
        <v>94</v>
      </c>
      <c r="B63" s="17" t="s">
        <v>75</v>
      </c>
      <c r="C63" s="18" t="s">
        <v>12</v>
      </c>
      <c r="D63" s="19">
        <v>1</v>
      </c>
      <c r="E63" s="19"/>
      <c r="F63" s="160"/>
      <c r="G63" s="160"/>
      <c r="H63" s="160"/>
      <c r="I63" s="160"/>
      <c r="J63" s="160">
        <v>1</v>
      </c>
      <c r="K63" s="164"/>
      <c r="L63" s="164"/>
      <c r="M63" s="164"/>
      <c r="N63" s="164"/>
      <c r="O63" s="164"/>
      <c r="P63" s="164"/>
      <c r="Q63" s="164"/>
      <c r="R63" s="164"/>
      <c r="S63" s="164"/>
      <c r="T63" s="164"/>
      <c r="U63" s="164"/>
      <c r="V63" s="164"/>
      <c r="W63" s="164"/>
      <c r="X63" s="164"/>
      <c r="Y63" s="165">
        <v>1</v>
      </c>
      <c r="Z63" s="165"/>
      <c r="AA63" s="27"/>
      <c r="AB63" s="27"/>
      <c r="AC63" s="27"/>
      <c r="AD63" s="184">
        <f t="shared" si="0"/>
        <v>0</v>
      </c>
      <c r="AE63" s="27"/>
      <c r="AF63" s="27"/>
      <c r="AG63" s="27"/>
      <c r="AH63" s="27"/>
      <c r="AI63" s="27"/>
      <c r="AJ63" s="27"/>
      <c r="AK63" s="27"/>
      <c r="AL63" s="27"/>
      <c r="AM63" s="27"/>
      <c r="AN63" s="27"/>
      <c r="AO63" s="27"/>
      <c r="AP63" s="27"/>
      <c r="AQ63" s="27"/>
      <c r="AR63" s="27">
        <v>1</v>
      </c>
      <c r="AS63" s="27"/>
      <c r="AT63" s="27"/>
      <c r="AU63" s="105"/>
      <c r="AV63" s="105"/>
      <c r="AW63" s="105"/>
      <c r="AX63" s="105"/>
      <c r="AY63" s="105"/>
      <c r="AZ63" s="105"/>
      <c r="BA63" s="105"/>
      <c r="BB63" s="105"/>
      <c r="BC63" s="105"/>
      <c r="BD63" s="105"/>
      <c r="BE63" s="105">
        <v>1</v>
      </c>
      <c r="BF63" s="105"/>
      <c r="BG63" s="84"/>
      <c r="BH63" s="84"/>
      <c r="BI63" s="84"/>
      <c r="BJ63" s="84"/>
      <c r="BK63" s="84"/>
      <c r="BL63" s="84"/>
      <c r="BM63" s="84"/>
      <c r="BN63" s="84"/>
      <c r="BO63" s="84"/>
      <c r="BP63" s="84"/>
      <c r="BQ63" s="84"/>
      <c r="BR63" s="84"/>
      <c r="BS63" s="84"/>
      <c r="BT63" s="84"/>
      <c r="BU63" s="84"/>
      <c r="BV63" s="84"/>
      <c r="BW63" s="84"/>
      <c r="BX63" s="84"/>
      <c r="BY63" s="84"/>
      <c r="BZ63" s="84"/>
      <c r="CA63" s="84"/>
      <c r="CB63" s="84"/>
      <c r="CC63" s="84"/>
      <c r="CD63" s="84"/>
      <c r="CE63" s="84"/>
      <c r="CF63" s="84"/>
      <c r="CG63" s="84"/>
      <c r="CH63" s="84"/>
      <c r="CI63" s="84"/>
      <c r="CJ63" s="84"/>
      <c r="CK63" s="84">
        <v>1</v>
      </c>
      <c r="CL63" s="84"/>
      <c r="CM63" s="182"/>
      <c r="CN63" s="182"/>
      <c r="CO63" s="182"/>
      <c r="CP63" s="182"/>
      <c r="CQ63" s="182"/>
      <c r="CR63" s="182">
        <v>1</v>
      </c>
      <c r="CS63" s="182"/>
      <c r="CT63" s="3">
        <f t="shared" si="2"/>
        <v>1</v>
      </c>
      <c r="CU63" s="3"/>
      <c r="CV63" s="1"/>
    </row>
    <row r="64" spans="1:100" x14ac:dyDescent="0.25">
      <c r="A64" t="s">
        <v>92</v>
      </c>
      <c r="B64" s="17" t="s">
        <v>76</v>
      </c>
      <c r="C64" s="18" t="s">
        <v>12</v>
      </c>
      <c r="D64" s="19">
        <v>1</v>
      </c>
      <c r="E64" s="19"/>
      <c r="F64" s="160"/>
      <c r="G64" s="160"/>
      <c r="H64" s="160"/>
      <c r="I64" s="160"/>
      <c r="J64" s="160">
        <v>1</v>
      </c>
      <c r="K64" s="164"/>
      <c r="L64" s="164"/>
      <c r="M64" s="164"/>
      <c r="N64" s="164"/>
      <c r="O64" s="164"/>
      <c r="P64" s="164"/>
      <c r="Q64" s="164"/>
      <c r="R64" s="164"/>
      <c r="S64" s="164"/>
      <c r="T64" s="164"/>
      <c r="U64" s="164"/>
      <c r="V64" s="164"/>
      <c r="W64" s="164"/>
      <c r="X64" s="164"/>
      <c r="Y64" s="165">
        <v>1</v>
      </c>
      <c r="Z64" s="165"/>
      <c r="AA64" s="27"/>
      <c r="AB64" s="27"/>
      <c r="AC64" s="27"/>
      <c r="AD64" s="184">
        <f t="shared" si="0"/>
        <v>0</v>
      </c>
      <c r="AE64" s="27"/>
      <c r="AF64" s="27"/>
      <c r="AG64" s="27"/>
      <c r="AH64" s="27"/>
      <c r="AI64" s="27"/>
      <c r="AJ64" s="27"/>
      <c r="AK64" s="27"/>
      <c r="AL64" s="27"/>
      <c r="AM64" s="27"/>
      <c r="AN64" s="27"/>
      <c r="AO64" s="27"/>
      <c r="AP64" s="27"/>
      <c r="AQ64" s="27"/>
      <c r="AR64" s="27">
        <v>1</v>
      </c>
      <c r="AS64" s="27"/>
      <c r="AT64" s="27"/>
      <c r="AU64" s="105"/>
      <c r="AV64" s="105"/>
      <c r="AW64" s="105"/>
      <c r="AX64" s="105"/>
      <c r="AY64" s="105"/>
      <c r="AZ64" s="105"/>
      <c r="BA64" s="105"/>
      <c r="BB64" s="105"/>
      <c r="BC64" s="105"/>
      <c r="BD64" s="105"/>
      <c r="BE64" s="105">
        <v>1</v>
      </c>
      <c r="BF64" s="105"/>
      <c r="BG64" s="84"/>
      <c r="BH64" s="84"/>
      <c r="BI64" s="84"/>
      <c r="BJ64" s="84"/>
      <c r="BK64" s="84"/>
      <c r="BL64" s="84"/>
      <c r="BM64" s="84"/>
      <c r="BN64" s="84"/>
      <c r="BO64" s="84"/>
      <c r="BP64" s="84"/>
      <c r="BQ64" s="84"/>
      <c r="BR64" s="84"/>
      <c r="BS64" s="84"/>
      <c r="BT64" s="84"/>
      <c r="BU64" s="84"/>
      <c r="BV64" s="84"/>
      <c r="BW64" s="84"/>
      <c r="BX64" s="84"/>
      <c r="BY64" s="84"/>
      <c r="BZ64" s="84"/>
      <c r="CA64" s="84"/>
      <c r="CB64" s="84"/>
      <c r="CC64" s="84"/>
      <c r="CD64" s="84"/>
      <c r="CE64" s="84"/>
      <c r="CF64" s="84"/>
      <c r="CG64" s="84"/>
      <c r="CH64" s="84"/>
      <c r="CI64" s="84"/>
      <c r="CJ64" s="84"/>
      <c r="CK64" s="84">
        <v>1</v>
      </c>
      <c r="CL64" s="84"/>
      <c r="CM64" s="182"/>
      <c r="CN64" s="182"/>
      <c r="CO64" s="182"/>
      <c r="CP64" s="182"/>
      <c r="CQ64" s="182"/>
      <c r="CR64" s="182">
        <v>1</v>
      </c>
      <c r="CS64" s="182"/>
      <c r="CT64" s="3">
        <f t="shared" si="2"/>
        <v>1</v>
      </c>
      <c r="CU64" s="3"/>
      <c r="CV64" s="1"/>
    </row>
    <row r="65" spans="1:100" x14ac:dyDescent="0.25">
      <c r="A65" t="s">
        <v>94</v>
      </c>
      <c r="B65" s="17" t="s">
        <v>25</v>
      </c>
      <c r="C65" s="19" t="s">
        <v>26</v>
      </c>
      <c r="D65" s="19">
        <v>1</v>
      </c>
      <c r="E65" s="19"/>
      <c r="F65" s="160"/>
      <c r="G65" s="160"/>
      <c r="H65" s="160"/>
      <c r="I65" s="160"/>
      <c r="J65" s="160">
        <v>1</v>
      </c>
      <c r="K65" s="164"/>
      <c r="L65" s="164"/>
      <c r="M65" s="164"/>
      <c r="N65" s="164"/>
      <c r="O65" s="164"/>
      <c r="P65" s="164"/>
      <c r="Q65" s="164"/>
      <c r="R65" s="164"/>
      <c r="S65" s="164"/>
      <c r="T65" s="164"/>
      <c r="U65" s="164"/>
      <c r="V65" s="164"/>
      <c r="W65" s="164"/>
      <c r="X65" s="164"/>
      <c r="Y65" s="165">
        <v>1</v>
      </c>
      <c r="Z65" s="165"/>
      <c r="AA65" s="27"/>
      <c r="AB65" s="27"/>
      <c r="AC65" s="27"/>
      <c r="AD65" s="184">
        <f t="shared" si="0"/>
        <v>0</v>
      </c>
      <c r="AE65" s="27"/>
      <c r="AF65" s="27"/>
      <c r="AG65" s="27"/>
      <c r="AH65" s="27"/>
      <c r="AI65" s="27"/>
      <c r="AJ65" s="27"/>
      <c r="AK65" s="27"/>
      <c r="AL65" s="27"/>
      <c r="AM65" s="27"/>
      <c r="AN65" s="27"/>
      <c r="AO65" s="27"/>
      <c r="AP65" s="27"/>
      <c r="AQ65" s="27"/>
      <c r="AR65" s="27">
        <v>1</v>
      </c>
      <c r="AS65" s="27"/>
      <c r="AT65" s="27"/>
      <c r="AU65" s="105"/>
      <c r="AV65" s="105"/>
      <c r="AW65" s="105"/>
      <c r="AX65" s="105"/>
      <c r="AY65" s="105"/>
      <c r="AZ65" s="105"/>
      <c r="BA65" s="105"/>
      <c r="BB65" s="105"/>
      <c r="BC65" s="105"/>
      <c r="BD65" s="105"/>
      <c r="BE65" s="105">
        <v>1</v>
      </c>
      <c r="BF65" s="105"/>
      <c r="BG65" s="84"/>
      <c r="BH65" s="84"/>
      <c r="BI65" s="84"/>
      <c r="BJ65" s="84"/>
      <c r="BK65" s="84"/>
      <c r="BL65" s="84"/>
      <c r="BM65" s="84"/>
      <c r="BN65" s="84"/>
      <c r="BO65" s="84"/>
      <c r="BP65" s="84"/>
      <c r="BQ65" s="84"/>
      <c r="BR65" s="84"/>
      <c r="BS65" s="84"/>
      <c r="BT65" s="84"/>
      <c r="BU65" s="84"/>
      <c r="BV65" s="84"/>
      <c r="BW65" s="84"/>
      <c r="BX65" s="84"/>
      <c r="BY65" s="84"/>
      <c r="BZ65" s="84"/>
      <c r="CA65" s="84"/>
      <c r="CB65" s="84"/>
      <c r="CC65" s="84"/>
      <c r="CD65" s="84"/>
      <c r="CE65" s="84"/>
      <c r="CF65" s="84"/>
      <c r="CG65" s="84"/>
      <c r="CH65" s="84"/>
      <c r="CI65" s="84"/>
      <c r="CJ65" s="84"/>
      <c r="CK65" s="84">
        <v>1</v>
      </c>
      <c r="CL65" s="84"/>
      <c r="CM65" s="182"/>
      <c r="CN65" s="182"/>
      <c r="CO65" s="182"/>
      <c r="CP65" s="182"/>
      <c r="CQ65" s="182"/>
      <c r="CR65" s="182">
        <v>1</v>
      </c>
      <c r="CS65" s="182"/>
      <c r="CT65" s="3">
        <f t="shared" si="2"/>
        <v>1</v>
      </c>
      <c r="CU65" s="3"/>
      <c r="CV65" s="1"/>
    </row>
    <row r="66" spans="1:100" x14ac:dyDescent="0.25">
      <c r="A66" t="s">
        <v>92</v>
      </c>
      <c r="B66" s="17" t="s">
        <v>29</v>
      </c>
      <c r="C66" s="19" t="s">
        <v>26</v>
      </c>
      <c r="D66" s="19">
        <v>1</v>
      </c>
      <c r="E66" s="19"/>
      <c r="F66" s="160"/>
      <c r="G66" s="160"/>
      <c r="H66" s="160"/>
      <c r="I66" s="160"/>
      <c r="J66" s="160">
        <v>1</v>
      </c>
      <c r="K66" s="164"/>
      <c r="L66" s="164"/>
      <c r="M66" s="164"/>
      <c r="N66" s="164"/>
      <c r="O66" s="164"/>
      <c r="P66" s="164"/>
      <c r="Q66" s="164"/>
      <c r="R66" s="164"/>
      <c r="S66" s="164"/>
      <c r="T66" s="164"/>
      <c r="U66" s="164"/>
      <c r="V66" s="164"/>
      <c r="W66" s="164"/>
      <c r="X66" s="164"/>
      <c r="Y66" s="165">
        <v>1</v>
      </c>
      <c r="Z66" s="165"/>
      <c r="AA66" s="27"/>
      <c r="AB66" s="27"/>
      <c r="AC66" s="27"/>
      <c r="AD66" s="184">
        <f t="shared" si="0"/>
        <v>0</v>
      </c>
      <c r="AE66" s="27"/>
      <c r="AF66" s="27"/>
      <c r="AG66" s="27"/>
      <c r="AH66" s="27"/>
      <c r="AI66" s="27"/>
      <c r="AJ66" s="27"/>
      <c r="AK66" s="27"/>
      <c r="AL66" s="27"/>
      <c r="AM66" s="27"/>
      <c r="AN66" s="27"/>
      <c r="AO66" s="27"/>
      <c r="AP66" s="27"/>
      <c r="AQ66" s="27"/>
      <c r="AR66" s="27">
        <v>1</v>
      </c>
      <c r="AS66" s="27"/>
      <c r="AT66" s="27"/>
      <c r="AU66" s="105"/>
      <c r="AV66" s="105"/>
      <c r="AW66" s="105"/>
      <c r="AX66" s="105"/>
      <c r="AY66" s="105"/>
      <c r="AZ66" s="105"/>
      <c r="BA66" s="105"/>
      <c r="BB66" s="105"/>
      <c r="BC66" s="105"/>
      <c r="BD66" s="105"/>
      <c r="BE66" s="105">
        <v>1</v>
      </c>
      <c r="BF66" s="105"/>
      <c r="BG66" s="84"/>
      <c r="BH66" s="84"/>
      <c r="BI66" s="84"/>
      <c r="BJ66" s="84"/>
      <c r="BK66" s="84"/>
      <c r="BL66" s="84"/>
      <c r="BM66" s="84"/>
      <c r="BN66" s="84"/>
      <c r="BO66" s="84"/>
      <c r="BP66" s="84"/>
      <c r="BQ66" s="84"/>
      <c r="BR66" s="84"/>
      <c r="BS66" s="84"/>
      <c r="BT66" s="84"/>
      <c r="BU66" s="84"/>
      <c r="BV66" s="84"/>
      <c r="BW66" s="84"/>
      <c r="BX66" s="84"/>
      <c r="BY66" s="84"/>
      <c r="BZ66" s="84"/>
      <c r="CA66" s="84"/>
      <c r="CB66" s="84"/>
      <c r="CC66" s="84"/>
      <c r="CD66" s="84"/>
      <c r="CE66" s="84"/>
      <c r="CF66" s="84"/>
      <c r="CG66" s="84"/>
      <c r="CH66" s="84"/>
      <c r="CI66" s="84"/>
      <c r="CJ66" s="84"/>
      <c r="CK66" s="84">
        <v>1</v>
      </c>
      <c r="CL66" s="84"/>
      <c r="CM66" s="182"/>
      <c r="CN66" s="182"/>
      <c r="CO66" s="182"/>
      <c r="CP66" s="182"/>
      <c r="CQ66" s="182"/>
      <c r="CR66" s="182">
        <v>1</v>
      </c>
      <c r="CS66" s="182"/>
      <c r="CT66" s="3">
        <f t="shared" si="2"/>
        <v>1</v>
      </c>
      <c r="CU66" s="3"/>
      <c r="CV66" s="1"/>
    </row>
    <row r="67" spans="1:100" x14ac:dyDescent="0.25">
      <c r="A67" t="s">
        <v>93</v>
      </c>
      <c r="B67" s="17" t="s">
        <v>30</v>
      </c>
      <c r="C67" s="19" t="s">
        <v>26</v>
      </c>
      <c r="D67" s="19">
        <v>1</v>
      </c>
      <c r="E67" s="19"/>
      <c r="F67" s="160"/>
      <c r="G67" s="160"/>
      <c r="H67" s="160"/>
      <c r="I67" s="160"/>
      <c r="J67" s="160">
        <v>1</v>
      </c>
      <c r="K67" s="164"/>
      <c r="L67" s="164"/>
      <c r="M67" s="164"/>
      <c r="N67" s="164"/>
      <c r="O67" s="164"/>
      <c r="P67" s="164"/>
      <c r="Q67" s="164"/>
      <c r="R67" s="164"/>
      <c r="S67" s="164"/>
      <c r="T67" s="164"/>
      <c r="U67" s="164"/>
      <c r="V67" s="164"/>
      <c r="W67" s="164"/>
      <c r="X67" s="164"/>
      <c r="Y67" s="165">
        <v>1</v>
      </c>
      <c r="Z67" s="165"/>
      <c r="AA67" s="27"/>
      <c r="AB67" s="27"/>
      <c r="AC67" s="27"/>
      <c r="AD67" s="184">
        <f t="shared" si="0"/>
        <v>0</v>
      </c>
      <c r="AE67" s="27"/>
      <c r="AF67" s="27"/>
      <c r="AG67" s="27"/>
      <c r="AH67" s="27"/>
      <c r="AI67" s="27"/>
      <c r="AJ67" s="27"/>
      <c r="AK67" s="27"/>
      <c r="AL67" s="27"/>
      <c r="AM67" s="27"/>
      <c r="AN67" s="27"/>
      <c r="AO67" s="27"/>
      <c r="AP67" s="27"/>
      <c r="AQ67" s="27"/>
      <c r="AR67" s="27">
        <v>1</v>
      </c>
      <c r="AS67" s="27"/>
      <c r="AT67" s="27"/>
      <c r="AU67" s="105"/>
      <c r="AV67" s="105"/>
      <c r="AW67" s="105"/>
      <c r="AX67" s="105"/>
      <c r="AY67" s="105"/>
      <c r="AZ67" s="105"/>
      <c r="BA67" s="105"/>
      <c r="BB67" s="105"/>
      <c r="BC67" s="105"/>
      <c r="BD67" s="105"/>
      <c r="BE67" s="105">
        <v>1</v>
      </c>
      <c r="BF67" s="105"/>
      <c r="BG67" s="84"/>
      <c r="BH67" s="84"/>
      <c r="BI67" s="84"/>
      <c r="BJ67" s="84"/>
      <c r="BK67" s="84"/>
      <c r="BL67" s="84"/>
      <c r="BM67" s="84"/>
      <c r="BN67" s="84"/>
      <c r="BO67" s="84"/>
      <c r="BP67" s="84"/>
      <c r="BQ67" s="84"/>
      <c r="BR67" s="84"/>
      <c r="BS67" s="84"/>
      <c r="BT67" s="84"/>
      <c r="BU67" s="84"/>
      <c r="BV67" s="84"/>
      <c r="BW67" s="84"/>
      <c r="BX67" s="84"/>
      <c r="BY67" s="84"/>
      <c r="BZ67" s="84"/>
      <c r="CA67" s="84"/>
      <c r="CB67" s="84"/>
      <c r="CC67" s="84"/>
      <c r="CD67" s="84"/>
      <c r="CE67" s="84"/>
      <c r="CF67" s="84"/>
      <c r="CG67" s="84"/>
      <c r="CH67" s="84"/>
      <c r="CI67" s="84"/>
      <c r="CJ67" s="84"/>
      <c r="CK67" s="84">
        <v>1</v>
      </c>
      <c r="CL67" s="84"/>
      <c r="CM67" s="182"/>
      <c r="CN67" s="182"/>
      <c r="CO67" s="182"/>
      <c r="CP67" s="182"/>
      <c r="CQ67" s="182"/>
      <c r="CR67" s="182">
        <v>1</v>
      </c>
      <c r="CS67" s="182"/>
      <c r="CT67" s="3">
        <f t="shared" si="2"/>
        <v>1</v>
      </c>
      <c r="CU67" s="3"/>
      <c r="CV67" s="1"/>
    </row>
    <row r="68" spans="1:100" x14ac:dyDescent="0.25">
      <c r="A68" t="s">
        <v>94</v>
      </c>
      <c r="B68" s="17" t="s">
        <v>31</v>
      </c>
      <c r="C68" s="18" t="s">
        <v>26</v>
      </c>
      <c r="D68" s="19">
        <v>1</v>
      </c>
      <c r="E68" s="19"/>
      <c r="F68" s="160"/>
      <c r="G68" s="160"/>
      <c r="H68" s="160"/>
      <c r="I68" s="160"/>
      <c r="J68" s="160">
        <v>1</v>
      </c>
      <c r="K68" s="164"/>
      <c r="L68" s="164"/>
      <c r="M68" s="164"/>
      <c r="N68" s="164"/>
      <c r="O68" s="164"/>
      <c r="P68" s="164"/>
      <c r="Q68" s="164"/>
      <c r="R68" s="164"/>
      <c r="S68" s="164"/>
      <c r="T68" s="164"/>
      <c r="U68" s="164"/>
      <c r="V68" s="164"/>
      <c r="W68" s="164"/>
      <c r="X68" s="164"/>
      <c r="Y68" s="165">
        <v>1</v>
      </c>
      <c r="Z68" s="165"/>
      <c r="AA68" s="27"/>
      <c r="AB68" s="27"/>
      <c r="AC68" s="27"/>
      <c r="AD68" s="184">
        <f t="shared" si="0"/>
        <v>0</v>
      </c>
      <c r="AE68" s="27"/>
      <c r="AF68" s="27"/>
      <c r="AG68" s="27"/>
      <c r="AH68" s="27"/>
      <c r="AI68" s="27"/>
      <c r="AJ68" s="27"/>
      <c r="AK68" s="27"/>
      <c r="AL68" s="27"/>
      <c r="AM68" s="27"/>
      <c r="AN68" s="27"/>
      <c r="AO68" s="27"/>
      <c r="AP68" s="27"/>
      <c r="AQ68" s="27"/>
      <c r="AR68" s="27">
        <v>1</v>
      </c>
      <c r="AS68" s="27"/>
      <c r="AT68" s="27"/>
      <c r="AU68" s="105"/>
      <c r="AV68" s="105"/>
      <c r="AW68" s="105"/>
      <c r="AX68" s="105"/>
      <c r="AY68" s="105"/>
      <c r="AZ68" s="105"/>
      <c r="BA68" s="105"/>
      <c r="BB68" s="105"/>
      <c r="BC68" s="105"/>
      <c r="BD68" s="105"/>
      <c r="BE68" s="105">
        <v>1</v>
      </c>
      <c r="BF68" s="105"/>
      <c r="BG68" s="84"/>
      <c r="BH68" s="84"/>
      <c r="BI68" s="84"/>
      <c r="BJ68" s="84"/>
      <c r="BK68" s="84"/>
      <c r="BL68" s="84"/>
      <c r="BM68" s="84"/>
      <c r="BN68" s="84"/>
      <c r="BO68" s="84"/>
      <c r="BP68" s="84"/>
      <c r="BQ68" s="84"/>
      <c r="BR68" s="84"/>
      <c r="BS68" s="84"/>
      <c r="BT68" s="84"/>
      <c r="BU68" s="84"/>
      <c r="BV68" s="84"/>
      <c r="BW68" s="84"/>
      <c r="BX68" s="84"/>
      <c r="BY68" s="84"/>
      <c r="BZ68" s="84"/>
      <c r="CA68" s="84"/>
      <c r="CB68" s="84"/>
      <c r="CC68" s="84"/>
      <c r="CD68" s="84"/>
      <c r="CE68" s="84"/>
      <c r="CF68" s="84"/>
      <c r="CG68" s="84"/>
      <c r="CH68" s="84"/>
      <c r="CI68" s="84"/>
      <c r="CJ68" s="84"/>
      <c r="CK68" s="84">
        <v>1</v>
      </c>
      <c r="CL68" s="84"/>
      <c r="CM68" s="182"/>
      <c r="CN68" s="182"/>
      <c r="CO68" s="182"/>
      <c r="CP68" s="182"/>
      <c r="CQ68" s="182"/>
      <c r="CR68" s="182">
        <v>1</v>
      </c>
      <c r="CS68" s="182"/>
      <c r="CT68" s="3">
        <f t="shared" si="2"/>
        <v>1</v>
      </c>
      <c r="CU68" s="3"/>
      <c r="CV68" s="1" t="s">
        <v>103</v>
      </c>
    </row>
    <row r="69" spans="1:100" x14ac:dyDescent="0.25">
      <c r="A69" t="s">
        <v>92</v>
      </c>
      <c r="B69" s="17" t="s">
        <v>44</v>
      </c>
      <c r="C69" s="18" t="s">
        <v>26</v>
      </c>
      <c r="D69" s="19">
        <v>1</v>
      </c>
      <c r="E69" s="19"/>
      <c r="F69" s="160"/>
      <c r="G69" s="160"/>
      <c r="H69" s="160"/>
      <c r="I69" s="160"/>
      <c r="J69" s="160">
        <v>1</v>
      </c>
      <c r="K69" s="164"/>
      <c r="L69" s="164"/>
      <c r="M69" s="164"/>
      <c r="N69" s="164"/>
      <c r="O69" s="164"/>
      <c r="P69" s="164"/>
      <c r="Q69" s="164"/>
      <c r="R69" s="164"/>
      <c r="S69" s="164"/>
      <c r="T69" s="164"/>
      <c r="U69" s="164"/>
      <c r="V69" s="164"/>
      <c r="W69" s="164"/>
      <c r="X69" s="164"/>
      <c r="Y69" s="165">
        <v>1</v>
      </c>
      <c r="Z69" s="165"/>
      <c r="AA69" s="27"/>
      <c r="AB69" s="27"/>
      <c r="AC69" s="27"/>
      <c r="AD69" s="184">
        <f t="shared" si="0"/>
        <v>0</v>
      </c>
      <c r="AE69" s="27"/>
      <c r="AF69" s="27"/>
      <c r="AG69" s="27"/>
      <c r="AH69" s="27"/>
      <c r="AI69" s="27"/>
      <c r="AJ69" s="27"/>
      <c r="AK69" s="27"/>
      <c r="AL69" s="27"/>
      <c r="AM69" s="27"/>
      <c r="AN69" s="27"/>
      <c r="AO69" s="27"/>
      <c r="AP69" s="27"/>
      <c r="AQ69" s="27"/>
      <c r="AR69" s="27">
        <v>1</v>
      </c>
      <c r="AS69" s="27"/>
      <c r="AT69" s="27"/>
      <c r="AU69" s="105"/>
      <c r="AV69" s="105"/>
      <c r="AW69" s="105"/>
      <c r="AX69" s="105"/>
      <c r="AY69" s="105"/>
      <c r="AZ69" s="105"/>
      <c r="BA69" s="105"/>
      <c r="BB69" s="105"/>
      <c r="BC69" s="105"/>
      <c r="BD69" s="105"/>
      <c r="BE69" s="105">
        <v>1</v>
      </c>
      <c r="BF69" s="105"/>
      <c r="BG69" s="84"/>
      <c r="BH69" s="84"/>
      <c r="BI69" s="84"/>
      <c r="BJ69" s="84"/>
      <c r="BK69" s="84"/>
      <c r="BL69" s="84"/>
      <c r="BM69" s="84"/>
      <c r="BN69" s="84"/>
      <c r="BO69" s="84"/>
      <c r="BP69" s="84"/>
      <c r="BQ69" s="84"/>
      <c r="BR69" s="84"/>
      <c r="BS69" s="84"/>
      <c r="BT69" s="84"/>
      <c r="BU69" s="84"/>
      <c r="BV69" s="84"/>
      <c r="BW69" s="84"/>
      <c r="BX69" s="84"/>
      <c r="BY69" s="84"/>
      <c r="BZ69" s="84"/>
      <c r="CA69" s="84"/>
      <c r="CB69" s="84"/>
      <c r="CC69" s="84"/>
      <c r="CD69" s="84"/>
      <c r="CE69" s="84"/>
      <c r="CF69" s="84"/>
      <c r="CG69" s="84"/>
      <c r="CH69" s="84"/>
      <c r="CI69" s="84"/>
      <c r="CJ69" s="84"/>
      <c r="CK69" s="84">
        <v>1</v>
      </c>
      <c r="CL69" s="84"/>
      <c r="CM69" s="182"/>
      <c r="CN69" s="182"/>
      <c r="CO69" s="182"/>
      <c r="CP69" s="182"/>
      <c r="CQ69" s="182"/>
      <c r="CR69" s="182">
        <v>1</v>
      </c>
      <c r="CS69" s="182"/>
      <c r="CT69" s="3">
        <f t="shared" si="2"/>
        <v>1</v>
      </c>
      <c r="CU69" s="3"/>
      <c r="CV69" s="1" t="s">
        <v>103</v>
      </c>
    </row>
    <row r="70" spans="1:100" x14ac:dyDescent="0.25">
      <c r="A70" t="s">
        <v>94</v>
      </c>
      <c r="B70" s="17" t="s">
        <v>45</v>
      </c>
      <c r="C70" s="18" t="s">
        <v>26</v>
      </c>
      <c r="D70" s="19">
        <v>1</v>
      </c>
      <c r="E70" s="19"/>
      <c r="F70" s="160"/>
      <c r="G70" s="160"/>
      <c r="H70" s="160"/>
      <c r="I70" s="160"/>
      <c r="J70" s="160">
        <v>1</v>
      </c>
      <c r="K70" s="164"/>
      <c r="L70" s="164"/>
      <c r="M70" s="164"/>
      <c r="N70" s="164"/>
      <c r="O70" s="164"/>
      <c r="P70" s="164"/>
      <c r="Q70" s="164"/>
      <c r="R70" s="164"/>
      <c r="S70" s="164"/>
      <c r="T70" s="164"/>
      <c r="U70" s="164"/>
      <c r="V70" s="164"/>
      <c r="W70" s="164"/>
      <c r="X70" s="164"/>
      <c r="Y70" s="165">
        <v>1</v>
      </c>
      <c r="Z70" s="165"/>
      <c r="AA70" s="27"/>
      <c r="AB70" s="27"/>
      <c r="AC70" s="27"/>
      <c r="AD70" s="184">
        <f t="shared" ref="AD70:AD86" si="3">AC70-AB70</f>
        <v>0</v>
      </c>
      <c r="AE70" s="27"/>
      <c r="AF70" s="27"/>
      <c r="AG70" s="27"/>
      <c r="AH70" s="27"/>
      <c r="AI70" s="27"/>
      <c r="AJ70" s="27"/>
      <c r="AK70" s="27"/>
      <c r="AL70" s="27"/>
      <c r="AM70" s="27"/>
      <c r="AN70" s="27"/>
      <c r="AO70" s="27"/>
      <c r="AP70" s="27"/>
      <c r="AQ70" s="27"/>
      <c r="AR70" s="27">
        <v>1</v>
      </c>
      <c r="AS70" s="27"/>
      <c r="AT70" s="27"/>
      <c r="AU70" s="105"/>
      <c r="AV70" s="105"/>
      <c r="AW70" s="105"/>
      <c r="AX70" s="105"/>
      <c r="AY70" s="105"/>
      <c r="AZ70" s="105"/>
      <c r="BA70" s="105"/>
      <c r="BB70" s="105"/>
      <c r="BC70" s="105"/>
      <c r="BD70" s="105"/>
      <c r="BE70" s="105">
        <v>1</v>
      </c>
      <c r="BF70" s="105"/>
      <c r="BG70" s="84"/>
      <c r="BH70" s="84"/>
      <c r="BI70" s="84"/>
      <c r="BJ70" s="84"/>
      <c r="BK70" s="84"/>
      <c r="BL70" s="84"/>
      <c r="BM70" s="84"/>
      <c r="BN70" s="84"/>
      <c r="BO70" s="84"/>
      <c r="BP70" s="84"/>
      <c r="BQ70" s="84"/>
      <c r="BR70" s="84"/>
      <c r="BS70" s="84"/>
      <c r="BT70" s="84"/>
      <c r="BU70" s="84"/>
      <c r="BV70" s="84"/>
      <c r="BW70" s="84"/>
      <c r="BX70" s="84"/>
      <c r="BY70" s="84"/>
      <c r="BZ70" s="84"/>
      <c r="CA70" s="84"/>
      <c r="CB70" s="84"/>
      <c r="CC70" s="84"/>
      <c r="CD70" s="84"/>
      <c r="CE70" s="84"/>
      <c r="CF70" s="84"/>
      <c r="CG70" s="84"/>
      <c r="CH70" s="84"/>
      <c r="CI70" s="84"/>
      <c r="CJ70" s="84"/>
      <c r="CK70" s="84">
        <v>1</v>
      </c>
      <c r="CL70" s="84"/>
      <c r="CM70" s="182"/>
      <c r="CN70" s="182"/>
      <c r="CO70" s="182"/>
      <c r="CP70" s="182"/>
      <c r="CQ70" s="182"/>
      <c r="CR70" s="182">
        <v>1</v>
      </c>
      <c r="CS70" s="182"/>
      <c r="CT70" s="3">
        <f t="shared" si="2"/>
        <v>1</v>
      </c>
      <c r="CU70" s="3"/>
      <c r="CV70" s="1" t="s">
        <v>103</v>
      </c>
    </row>
    <row r="71" spans="1:100" x14ac:dyDescent="0.25">
      <c r="A71" t="s">
        <v>92</v>
      </c>
      <c r="B71" s="17" t="s">
        <v>53</v>
      </c>
      <c r="C71" s="19" t="s">
        <v>26</v>
      </c>
      <c r="D71" s="19">
        <v>1</v>
      </c>
      <c r="E71" s="19"/>
      <c r="F71" s="160"/>
      <c r="G71" s="160"/>
      <c r="H71" s="160"/>
      <c r="I71" s="160"/>
      <c r="J71" s="160">
        <v>1</v>
      </c>
      <c r="K71" s="164"/>
      <c r="L71" s="164"/>
      <c r="M71" s="164"/>
      <c r="N71" s="164"/>
      <c r="O71" s="164"/>
      <c r="P71" s="164"/>
      <c r="Q71" s="164"/>
      <c r="R71" s="164"/>
      <c r="S71" s="164"/>
      <c r="T71" s="164"/>
      <c r="U71" s="164"/>
      <c r="V71" s="164"/>
      <c r="W71" s="164"/>
      <c r="X71" s="164"/>
      <c r="Y71" s="165">
        <v>1</v>
      </c>
      <c r="Z71" s="165"/>
      <c r="AA71" s="27"/>
      <c r="AB71" s="27"/>
      <c r="AC71" s="27"/>
      <c r="AD71" s="184">
        <f t="shared" si="3"/>
        <v>0</v>
      </c>
      <c r="AE71" s="27"/>
      <c r="AF71" s="27"/>
      <c r="AG71" s="27"/>
      <c r="AH71" s="27"/>
      <c r="AI71" s="27"/>
      <c r="AJ71" s="27"/>
      <c r="AK71" s="27"/>
      <c r="AL71" s="27"/>
      <c r="AM71" s="27"/>
      <c r="AN71" s="27"/>
      <c r="AO71" s="27"/>
      <c r="AP71" s="27"/>
      <c r="AQ71" s="27"/>
      <c r="AR71" s="27">
        <v>1</v>
      </c>
      <c r="AS71" s="27"/>
      <c r="AT71" s="27"/>
      <c r="AU71" s="105"/>
      <c r="AV71" s="105"/>
      <c r="AW71" s="105"/>
      <c r="AX71" s="105"/>
      <c r="AY71" s="105"/>
      <c r="AZ71" s="105"/>
      <c r="BA71" s="105"/>
      <c r="BB71" s="105"/>
      <c r="BC71" s="105"/>
      <c r="BD71" s="105"/>
      <c r="BE71" s="105">
        <v>1</v>
      </c>
      <c r="BF71" s="105"/>
      <c r="BG71" s="84"/>
      <c r="BH71" s="84"/>
      <c r="BI71" s="84"/>
      <c r="BJ71" s="84"/>
      <c r="BK71" s="84"/>
      <c r="BL71" s="84"/>
      <c r="BM71" s="84"/>
      <c r="BN71" s="84"/>
      <c r="BO71" s="84"/>
      <c r="BP71" s="84"/>
      <c r="BQ71" s="84"/>
      <c r="BR71" s="84"/>
      <c r="BS71" s="84"/>
      <c r="BT71" s="84"/>
      <c r="BU71" s="84"/>
      <c r="BV71" s="84"/>
      <c r="BW71" s="84"/>
      <c r="BX71" s="84"/>
      <c r="BY71" s="84"/>
      <c r="BZ71" s="84"/>
      <c r="CA71" s="84"/>
      <c r="CB71" s="84"/>
      <c r="CC71" s="84"/>
      <c r="CD71" s="84"/>
      <c r="CE71" s="84"/>
      <c r="CF71" s="84"/>
      <c r="CG71" s="84"/>
      <c r="CH71" s="84"/>
      <c r="CI71" s="84"/>
      <c r="CJ71" s="84"/>
      <c r="CK71" s="84">
        <v>1</v>
      </c>
      <c r="CL71" s="84"/>
      <c r="CM71" s="182"/>
      <c r="CN71" s="182"/>
      <c r="CO71" s="182"/>
      <c r="CP71" s="182"/>
      <c r="CQ71" s="182"/>
      <c r="CR71" s="182">
        <v>1</v>
      </c>
      <c r="CS71" s="182"/>
      <c r="CT71" s="3">
        <f t="shared" si="2"/>
        <v>1</v>
      </c>
      <c r="CU71" s="3"/>
      <c r="CV71" s="1"/>
    </row>
    <row r="72" spans="1:100" x14ac:dyDescent="0.25">
      <c r="A72" t="s">
        <v>93</v>
      </c>
      <c r="B72" s="17" t="s">
        <v>54</v>
      </c>
      <c r="C72" s="19" t="s">
        <v>26</v>
      </c>
      <c r="D72" s="19">
        <v>1</v>
      </c>
      <c r="E72" s="19"/>
      <c r="F72" s="160"/>
      <c r="G72" s="160"/>
      <c r="H72" s="160"/>
      <c r="I72" s="160"/>
      <c r="J72" s="160">
        <v>1</v>
      </c>
      <c r="K72" s="164"/>
      <c r="L72" s="164"/>
      <c r="M72" s="164"/>
      <c r="N72" s="164"/>
      <c r="O72" s="164"/>
      <c r="P72" s="164"/>
      <c r="Q72" s="164"/>
      <c r="R72" s="164"/>
      <c r="S72" s="164"/>
      <c r="T72" s="164"/>
      <c r="U72" s="164"/>
      <c r="V72" s="164"/>
      <c r="W72" s="164"/>
      <c r="X72" s="164"/>
      <c r="Y72" s="165">
        <v>1</v>
      </c>
      <c r="Z72" s="165"/>
      <c r="AA72" s="27"/>
      <c r="AB72" s="27"/>
      <c r="AC72" s="27"/>
      <c r="AD72" s="184">
        <f t="shared" si="3"/>
        <v>0</v>
      </c>
      <c r="AE72" s="27"/>
      <c r="AF72" s="27"/>
      <c r="AG72" s="27"/>
      <c r="AH72" s="27"/>
      <c r="AI72" s="27"/>
      <c r="AJ72" s="27"/>
      <c r="AK72" s="27"/>
      <c r="AL72" s="27"/>
      <c r="AM72" s="27"/>
      <c r="AN72" s="27"/>
      <c r="AO72" s="27"/>
      <c r="AP72" s="27"/>
      <c r="AQ72" s="27"/>
      <c r="AR72" s="27">
        <v>1</v>
      </c>
      <c r="AS72" s="27"/>
      <c r="AT72" s="27"/>
      <c r="AU72" s="105"/>
      <c r="AV72" s="105"/>
      <c r="AW72" s="105"/>
      <c r="AX72" s="105"/>
      <c r="AY72" s="105"/>
      <c r="AZ72" s="105"/>
      <c r="BA72" s="105"/>
      <c r="BB72" s="105"/>
      <c r="BC72" s="105"/>
      <c r="BD72" s="105"/>
      <c r="BE72" s="105">
        <v>1</v>
      </c>
      <c r="BF72" s="105"/>
      <c r="BG72" s="84"/>
      <c r="BH72" s="84"/>
      <c r="BI72" s="84"/>
      <c r="BJ72" s="84"/>
      <c r="BK72" s="84"/>
      <c r="BL72" s="84"/>
      <c r="BM72" s="84"/>
      <c r="BN72" s="84"/>
      <c r="BO72" s="84"/>
      <c r="BP72" s="84"/>
      <c r="BQ72" s="84"/>
      <c r="BR72" s="84"/>
      <c r="BS72" s="84"/>
      <c r="BT72" s="84"/>
      <c r="BU72" s="84"/>
      <c r="BV72" s="84"/>
      <c r="BW72" s="84"/>
      <c r="BX72" s="84"/>
      <c r="BY72" s="84"/>
      <c r="BZ72" s="84"/>
      <c r="CA72" s="84"/>
      <c r="CB72" s="84"/>
      <c r="CC72" s="84"/>
      <c r="CD72" s="84"/>
      <c r="CE72" s="84"/>
      <c r="CF72" s="84"/>
      <c r="CG72" s="84"/>
      <c r="CH72" s="84"/>
      <c r="CI72" s="84"/>
      <c r="CJ72" s="84"/>
      <c r="CK72" s="84">
        <v>1</v>
      </c>
      <c r="CL72" s="84"/>
      <c r="CM72" s="182"/>
      <c r="CN72" s="182"/>
      <c r="CO72" s="182"/>
      <c r="CP72" s="182"/>
      <c r="CQ72" s="182"/>
      <c r="CR72" s="182">
        <v>1</v>
      </c>
      <c r="CS72" s="182"/>
      <c r="CT72" s="3">
        <f t="shared" si="2"/>
        <v>1</v>
      </c>
      <c r="CU72" s="3"/>
      <c r="CV72" s="1"/>
    </row>
    <row r="73" spans="1:100" x14ac:dyDescent="0.25">
      <c r="A73" t="s">
        <v>94</v>
      </c>
      <c r="B73" s="17" t="s">
        <v>55</v>
      </c>
      <c r="C73" s="19" t="s">
        <v>26</v>
      </c>
      <c r="D73" s="19">
        <v>1</v>
      </c>
      <c r="E73" s="19"/>
      <c r="F73" s="160"/>
      <c r="G73" s="160"/>
      <c r="H73" s="160"/>
      <c r="I73" s="160"/>
      <c r="J73" s="160">
        <v>1</v>
      </c>
      <c r="K73" s="164"/>
      <c r="L73" s="164"/>
      <c r="M73" s="164"/>
      <c r="N73" s="164"/>
      <c r="O73" s="164"/>
      <c r="P73" s="164"/>
      <c r="Q73" s="164"/>
      <c r="R73" s="164"/>
      <c r="S73" s="164"/>
      <c r="T73" s="164"/>
      <c r="U73" s="164"/>
      <c r="V73" s="164"/>
      <c r="W73" s="164"/>
      <c r="X73" s="164"/>
      <c r="Y73" s="165">
        <v>1</v>
      </c>
      <c r="Z73" s="165"/>
      <c r="AA73" s="27"/>
      <c r="AB73" s="27"/>
      <c r="AC73" s="27"/>
      <c r="AD73" s="184">
        <f t="shared" si="3"/>
        <v>0</v>
      </c>
      <c r="AE73" s="27"/>
      <c r="AF73" s="27"/>
      <c r="AG73" s="27"/>
      <c r="AH73" s="27"/>
      <c r="AI73" s="27"/>
      <c r="AJ73" s="27"/>
      <c r="AK73" s="27"/>
      <c r="AL73" s="27"/>
      <c r="AM73" s="27"/>
      <c r="AN73" s="27"/>
      <c r="AO73" s="27"/>
      <c r="AP73" s="27"/>
      <c r="AQ73" s="27"/>
      <c r="AR73" s="27">
        <v>1</v>
      </c>
      <c r="AS73" s="27"/>
      <c r="AT73" s="27"/>
      <c r="AU73" s="105"/>
      <c r="AV73" s="105"/>
      <c r="AW73" s="105"/>
      <c r="AX73" s="105"/>
      <c r="AY73" s="105"/>
      <c r="AZ73" s="105"/>
      <c r="BA73" s="105"/>
      <c r="BB73" s="105"/>
      <c r="BC73" s="105"/>
      <c r="BD73" s="105"/>
      <c r="BE73" s="105">
        <v>1</v>
      </c>
      <c r="BF73" s="105"/>
      <c r="BG73" s="84"/>
      <c r="BH73" s="84"/>
      <c r="BI73" s="84"/>
      <c r="BJ73" s="84"/>
      <c r="BK73" s="84"/>
      <c r="BL73" s="84"/>
      <c r="BM73" s="84"/>
      <c r="BN73" s="84"/>
      <c r="BO73" s="84"/>
      <c r="BP73" s="84"/>
      <c r="BQ73" s="84"/>
      <c r="BR73" s="84"/>
      <c r="BS73" s="84"/>
      <c r="BT73" s="84"/>
      <c r="BU73" s="84"/>
      <c r="BV73" s="84"/>
      <c r="BW73" s="84"/>
      <c r="BX73" s="84"/>
      <c r="BY73" s="84"/>
      <c r="BZ73" s="84"/>
      <c r="CA73" s="84"/>
      <c r="CB73" s="84"/>
      <c r="CC73" s="84"/>
      <c r="CD73" s="84"/>
      <c r="CE73" s="84"/>
      <c r="CF73" s="84"/>
      <c r="CG73" s="84"/>
      <c r="CH73" s="84"/>
      <c r="CI73" s="84"/>
      <c r="CJ73" s="84"/>
      <c r="CK73" s="84">
        <v>1</v>
      </c>
      <c r="CL73" s="84"/>
      <c r="CM73" s="182"/>
      <c r="CN73" s="182"/>
      <c r="CO73" s="182"/>
      <c r="CP73" s="182"/>
      <c r="CQ73" s="182"/>
      <c r="CR73" s="182">
        <v>1</v>
      </c>
      <c r="CS73" s="182"/>
      <c r="CT73" s="3">
        <f t="shared" si="2"/>
        <v>1</v>
      </c>
      <c r="CU73" s="3"/>
      <c r="CV73" s="1"/>
    </row>
    <row r="74" spans="1:100" x14ac:dyDescent="0.25">
      <c r="A74" t="s">
        <v>92</v>
      </c>
      <c r="B74" s="17" t="s">
        <v>58</v>
      </c>
      <c r="C74" s="19" t="s">
        <v>26</v>
      </c>
      <c r="D74" s="19">
        <v>1</v>
      </c>
      <c r="E74" s="19"/>
      <c r="F74" s="160"/>
      <c r="G74" s="160"/>
      <c r="H74" s="160"/>
      <c r="I74" s="160"/>
      <c r="J74" s="160">
        <v>1</v>
      </c>
      <c r="K74" s="164"/>
      <c r="L74" s="164"/>
      <c r="M74" s="164"/>
      <c r="N74" s="164"/>
      <c r="O74" s="164"/>
      <c r="P74" s="164"/>
      <c r="Q74" s="164"/>
      <c r="R74" s="164"/>
      <c r="S74" s="164"/>
      <c r="T74" s="164"/>
      <c r="U74" s="164"/>
      <c r="V74" s="164"/>
      <c r="W74" s="164"/>
      <c r="X74" s="164"/>
      <c r="Y74" s="165">
        <v>1</v>
      </c>
      <c r="Z74" s="165"/>
      <c r="AA74" s="27"/>
      <c r="AB74" s="27"/>
      <c r="AC74" s="27"/>
      <c r="AD74" s="184">
        <f t="shared" si="3"/>
        <v>0</v>
      </c>
      <c r="AE74" s="27"/>
      <c r="AF74" s="27"/>
      <c r="AG74" s="27"/>
      <c r="AH74" s="27"/>
      <c r="AI74" s="27"/>
      <c r="AJ74" s="27"/>
      <c r="AK74" s="27"/>
      <c r="AL74" s="27"/>
      <c r="AM74" s="27"/>
      <c r="AN74" s="27"/>
      <c r="AO74" s="27"/>
      <c r="AP74" s="27"/>
      <c r="AQ74" s="27"/>
      <c r="AR74" s="27">
        <v>1</v>
      </c>
      <c r="AS74" s="27"/>
      <c r="AT74" s="27"/>
      <c r="AU74" s="105"/>
      <c r="AV74" s="105"/>
      <c r="AW74" s="105"/>
      <c r="AX74" s="105"/>
      <c r="AY74" s="105"/>
      <c r="AZ74" s="105"/>
      <c r="BA74" s="105"/>
      <c r="BB74" s="105"/>
      <c r="BC74" s="105"/>
      <c r="BD74" s="105"/>
      <c r="BE74" s="105">
        <v>1</v>
      </c>
      <c r="BF74" s="105"/>
      <c r="BG74" s="84"/>
      <c r="BH74" s="84"/>
      <c r="BI74" s="84"/>
      <c r="BJ74" s="84"/>
      <c r="BK74" s="84"/>
      <c r="BL74" s="84"/>
      <c r="BM74" s="84"/>
      <c r="BN74" s="84"/>
      <c r="BO74" s="84"/>
      <c r="BP74" s="84"/>
      <c r="BQ74" s="84"/>
      <c r="BR74" s="84"/>
      <c r="BS74" s="84"/>
      <c r="BT74" s="84"/>
      <c r="BU74" s="84"/>
      <c r="BV74" s="84"/>
      <c r="BW74" s="84"/>
      <c r="BX74" s="84"/>
      <c r="BY74" s="84"/>
      <c r="BZ74" s="84"/>
      <c r="CA74" s="84"/>
      <c r="CB74" s="84"/>
      <c r="CC74" s="84"/>
      <c r="CD74" s="84"/>
      <c r="CE74" s="84"/>
      <c r="CF74" s="84"/>
      <c r="CG74" s="84"/>
      <c r="CH74" s="84"/>
      <c r="CI74" s="84"/>
      <c r="CJ74" s="84"/>
      <c r="CK74" s="84">
        <v>1</v>
      </c>
      <c r="CL74" s="84"/>
      <c r="CM74" s="182"/>
      <c r="CN74" s="182"/>
      <c r="CO74" s="182"/>
      <c r="CP74" s="182"/>
      <c r="CQ74" s="182"/>
      <c r="CR74" s="182">
        <v>1</v>
      </c>
      <c r="CS74" s="182"/>
      <c r="CT74" s="3">
        <f t="shared" si="2"/>
        <v>1</v>
      </c>
      <c r="CU74" s="3"/>
      <c r="CV74" s="1"/>
    </row>
    <row r="75" spans="1:100" x14ac:dyDescent="0.25">
      <c r="A75" t="s">
        <v>94</v>
      </c>
      <c r="B75" s="17" t="s">
        <v>59</v>
      </c>
      <c r="C75" s="19" t="s">
        <v>26</v>
      </c>
      <c r="D75" s="19">
        <v>1</v>
      </c>
      <c r="E75" s="19"/>
      <c r="F75" s="160"/>
      <c r="G75" s="160"/>
      <c r="H75" s="160"/>
      <c r="I75" s="160"/>
      <c r="J75" s="160">
        <v>1</v>
      </c>
      <c r="K75" s="164"/>
      <c r="L75" s="164"/>
      <c r="M75" s="164"/>
      <c r="N75" s="164"/>
      <c r="O75" s="164"/>
      <c r="P75" s="164"/>
      <c r="Q75" s="164"/>
      <c r="R75" s="164"/>
      <c r="S75" s="164"/>
      <c r="T75" s="164"/>
      <c r="U75" s="164"/>
      <c r="V75" s="164"/>
      <c r="W75" s="164"/>
      <c r="X75" s="164"/>
      <c r="Y75" s="165">
        <v>1</v>
      </c>
      <c r="Z75" s="165"/>
      <c r="AA75" s="27"/>
      <c r="AB75" s="27"/>
      <c r="AC75" s="27"/>
      <c r="AD75" s="184">
        <f t="shared" si="3"/>
        <v>0</v>
      </c>
      <c r="AE75" s="27"/>
      <c r="AF75" s="27"/>
      <c r="AG75" s="27"/>
      <c r="AH75" s="27"/>
      <c r="AI75" s="27"/>
      <c r="AJ75" s="27"/>
      <c r="AK75" s="27"/>
      <c r="AL75" s="27"/>
      <c r="AM75" s="27"/>
      <c r="AN75" s="27"/>
      <c r="AO75" s="27"/>
      <c r="AP75" s="27"/>
      <c r="AQ75" s="27"/>
      <c r="AR75" s="27">
        <v>1</v>
      </c>
      <c r="AS75" s="27"/>
      <c r="AT75" s="27"/>
      <c r="AU75" s="105"/>
      <c r="AV75" s="105"/>
      <c r="AW75" s="105"/>
      <c r="AX75" s="105"/>
      <c r="AY75" s="105"/>
      <c r="AZ75" s="105"/>
      <c r="BA75" s="105"/>
      <c r="BB75" s="105"/>
      <c r="BC75" s="105"/>
      <c r="BD75" s="105"/>
      <c r="BE75" s="105">
        <v>1</v>
      </c>
      <c r="BF75" s="105"/>
      <c r="BG75" s="84"/>
      <c r="BH75" s="84"/>
      <c r="BI75" s="84"/>
      <c r="BJ75" s="84"/>
      <c r="BK75" s="84"/>
      <c r="BL75" s="84"/>
      <c r="BM75" s="84"/>
      <c r="BN75" s="84"/>
      <c r="BO75" s="84"/>
      <c r="BP75" s="84"/>
      <c r="BQ75" s="84"/>
      <c r="BR75" s="84"/>
      <c r="BS75" s="84"/>
      <c r="BT75" s="84"/>
      <c r="BU75" s="84"/>
      <c r="BV75" s="84"/>
      <c r="BW75" s="84"/>
      <c r="BX75" s="84"/>
      <c r="BY75" s="84"/>
      <c r="BZ75" s="84"/>
      <c r="CA75" s="84"/>
      <c r="CB75" s="84"/>
      <c r="CC75" s="84"/>
      <c r="CD75" s="84"/>
      <c r="CE75" s="84"/>
      <c r="CF75" s="84"/>
      <c r="CG75" s="84"/>
      <c r="CH75" s="84"/>
      <c r="CI75" s="84"/>
      <c r="CJ75" s="84"/>
      <c r="CK75" s="84">
        <v>1</v>
      </c>
      <c r="CL75" s="84"/>
      <c r="CM75" s="182"/>
      <c r="CN75" s="182"/>
      <c r="CO75" s="182"/>
      <c r="CP75" s="182"/>
      <c r="CQ75" s="182"/>
      <c r="CR75" s="182">
        <v>1</v>
      </c>
      <c r="CS75" s="182"/>
      <c r="CT75" s="3">
        <f t="shared" si="2"/>
        <v>1</v>
      </c>
      <c r="CU75" s="3"/>
      <c r="CV75" s="1"/>
    </row>
    <row r="76" spans="1:100" x14ac:dyDescent="0.25">
      <c r="A76" t="s">
        <v>92</v>
      </c>
      <c r="B76" s="17" t="s">
        <v>60</v>
      </c>
      <c r="C76" s="19" t="s">
        <v>26</v>
      </c>
      <c r="D76" s="19">
        <v>1</v>
      </c>
      <c r="E76" s="19"/>
      <c r="F76" s="160"/>
      <c r="G76" s="160"/>
      <c r="H76" s="160"/>
      <c r="I76" s="160"/>
      <c r="J76" s="160">
        <v>1</v>
      </c>
      <c r="K76" s="164"/>
      <c r="L76" s="164"/>
      <c r="M76" s="164"/>
      <c r="N76" s="164"/>
      <c r="O76" s="164"/>
      <c r="P76" s="164"/>
      <c r="Q76" s="164"/>
      <c r="R76" s="164"/>
      <c r="S76" s="164"/>
      <c r="T76" s="164"/>
      <c r="U76" s="164"/>
      <c r="V76" s="164"/>
      <c r="W76" s="164"/>
      <c r="X76" s="164"/>
      <c r="Y76" s="165">
        <v>1</v>
      </c>
      <c r="Z76" s="165"/>
      <c r="AA76" s="27"/>
      <c r="AB76" s="27"/>
      <c r="AC76" s="27"/>
      <c r="AD76" s="184">
        <f t="shared" si="3"/>
        <v>0</v>
      </c>
      <c r="AE76" s="27"/>
      <c r="AF76" s="27"/>
      <c r="AG76" s="27"/>
      <c r="AH76" s="27"/>
      <c r="AI76" s="27"/>
      <c r="AJ76" s="27"/>
      <c r="AK76" s="27"/>
      <c r="AL76" s="27"/>
      <c r="AM76" s="27"/>
      <c r="AN76" s="27"/>
      <c r="AO76" s="27"/>
      <c r="AP76" s="27"/>
      <c r="AQ76" s="27"/>
      <c r="AR76" s="27">
        <v>1</v>
      </c>
      <c r="AS76" s="27"/>
      <c r="AT76" s="27"/>
      <c r="AU76" s="105"/>
      <c r="AV76" s="105"/>
      <c r="AW76" s="105"/>
      <c r="AX76" s="105"/>
      <c r="AY76" s="105"/>
      <c r="AZ76" s="105"/>
      <c r="BA76" s="105"/>
      <c r="BB76" s="105"/>
      <c r="BC76" s="105"/>
      <c r="BD76" s="105"/>
      <c r="BE76" s="105">
        <v>1</v>
      </c>
      <c r="BF76" s="105"/>
      <c r="BG76" s="84"/>
      <c r="BH76" s="84"/>
      <c r="BI76" s="84"/>
      <c r="BJ76" s="84"/>
      <c r="BK76" s="84"/>
      <c r="BL76" s="84"/>
      <c r="BM76" s="84"/>
      <c r="BN76" s="84"/>
      <c r="BO76" s="84"/>
      <c r="BP76" s="84"/>
      <c r="BQ76" s="84"/>
      <c r="BR76" s="84"/>
      <c r="BS76" s="84"/>
      <c r="BT76" s="84"/>
      <c r="BU76" s="84"/>
      <c r="BV76" s="84"/>
      <c r="BW76" s="84"/>
      <c r="BX76" s="84"/>
      <c r="BY76" s="84"/>
      <c r="BZ76" s="84"/>
      <c r="CA76" s="84"/>
      <c r="CB76" s="84"/>
      <c r="CC76" s="84"/>
      <c r="CD76" s="84"/>
      <c r="CE76" s="84"/>
      <c r="CF76" s="84"/>
      <c r="CG76" s="84"/>
      <c r="CH76" s="84"/>
      <c r="CI76" s="84"/>
      <c r="CJ76" s="84"/>
      <c r="CK76" s="84">
        <v>1</v>
      </c>
      <c r="CL76" s="84"/>
      <c r="CM76" s="182"/>
      <c r="CN76" s="182"/>
      <c r="CO76" s="182"/>
      <c r="CP76" s="182"/>
      <c r="CQ76" s="182"/>
      <c r="CR76" s="182">
        <v>1</v>
      </c>
      <c r="CS76" s="182"/>
      <c r="CT76" s="3">
        <f t="shared" si="2"/>
        <v>1</v>
      </c>
      <c r="CU76" s="3"/>
      <c r="CV76" s="1" t="s">
        <v>103</v>
      </c>
    </row>
    <row r="77" spans="1:100" x14ac:dyDescent="0.25">
      <c r="A77" t="s">
        <v>93</v>
      </c>
      <c r="B77" s="17" t="s">
        <v>61</v>
      </c>
      <c r="C77" s="19" t="s">
        <v>26</v>
      </c>
      <c r="D77" s="19">
        <v>1</v>
      </c>
      <c r="E77" s="19"/>
      <c r="F77" s="160"/>
      <c r="G77" s="160"/>
      <c r="H77" s="160"/>
      <c r="I77" s="160"/>
      <c r="J77" s="160">
        <v>1</v>
      </c>
      <c r="K77" s="164"/>
      <c r="L77" s="164"/>
      <c r="M77" s="164"/>
      <c r="N77" s="164"/>
      <c r="O77" s="164"/>
      <c r="P77" s="164"/>
      <c r="Q77" s="164"/>
      <c r="R77" s="164"/>
      <c r="S77" s="164"/>
      <c r="T77" s="164"/>
      <c r="U77" s="164"/>
      <c r="V77" s="164"/>
      <c r="W77" s="164"/>
      <c r="X77" s="164"/>
      <c r="Y77" s="165">
        <v>1</v>
      </c>
      <c r="Z77" s="165"/>
      <c r="AA77" s="27"/>
      <c r="AB77" s="27"/>
      <c r="AC77" s="27"/>
      <c r="AD77" s="184">
        <f t="shared" si="3"/>
        <v>0</v>
      </c>
      <c r="AE77" s="27"/>
      <c r="AF77" s="27"/>
      <c r="AG77" s="27"/>
      <c r="AH77" s="27"/>
      <c r="AI77" s="27"/>
      <c r="AJ77" s="27"/>
      <c r="AK77" s="27"/>
      <c r="AL77" s="27"/>
      <c r="AM77" s="27"/>
      <c r="AN77" s="27"/>
      <c r="AO77" s="27"/>
      <c r="AP77" s="27"/>
      <c r="AQ77" s="27"/>
      <c r="AR77" s="27">
        <v>1</v>
      </c>
      <c r="AS77" s="27"/>
      <c r="AT77" s="27"/>
      <c r="AU77" s="105"/>
      <c r="AV77" s="105"/>
      <c r="AW77" s="105"/>
      <c r="AX77" s="105"/>
      <c r="AY77" s="105"/>
      <c r="AZ77" s="105"/>
      <c r="BA77" s="105"/>
      <c r="BB77" s="105"/>
      <c r="BC77" s="105"/>
      <c r="BD77" s="105"/>
      <c r="BE77" s="105">
        <v>1</v>
      </c>
      <c r="BF77" s="105"/>
      <c r="BG77" s="84"/>
      <c r="BH77" s="84"/>
      <c r="BI77" s="84"/>
      <c r="BJ77" s="84"/>
      <c r="BK77" s="84"/>
      <c r="BL77" s="84"/>
      <c r="BM77" s="84"/>
      <c r="BN77" s="84"/>
      <c r="BO77" s="84"/>
      <c r="BP77" s="84"/>
      <c r="BQ77" s="84"/>
      <c r="BR77" s="84"/>
      <c r="BS77" s="84"/>
      <c r="BT77" s="84"/>
      <c r="BU77" s="84"/>
      <c r="BV77" s="84"/>
      <c r="BW77" s="84"/>
      <c r="BX77" s="84"/>
      <c r="BY77" s="84"/>
      <c r="BZ77" s="84"/>
      <c r="CA77" s="84"/>
      <c r="CB77" s="84"/>
      <c r="CC77" s="84"/>
      <c r="CD77" s="84"/>
      <c r="CE77" s="84"/>
      <c r="CF77" s="84"/>
      <c r="CG77" s="84"/>
      <c r="CH77" s="84"/>
      <c r="CI77" s="84"/>
      <c r="CJ77" s="84"/>
      <c r="CK77" s="84">
        <v>1</v>
      </c>
      <c r="CL77" s="84"/>
      <c r="CM77" s="182"/>
      <c r="CN77" s="182"/>
      <c r="CO77" s="182"/>
      <c r="CP77" s="182"/>
      <c r="CQ77" s="182"/>
      <c r="CR77" s="182">
        <v>1</v>
      </c>
      <c r="CS77" s="182"/>
      <c r="CT77" s="3">
        <f t="shared" si="2"/>
        <v>1</v>
      </c>
      <c r="CU77" s="3"/>
      <c r="CV77" s="1" t="s">
        <v>103</v>
      </c>
    </row>
    <row r="78" spans="1:100" x14ac:dyDescent="0.25">
      <c r="A78" t="s">
        <v>94</v>
      </c>
      <c r="B78" s="17" t="s">
        <v>62</v>
      </c>
      <c r="C78" s="19" t="s">
        <v>26</v>
      </c>
      <c r="D78" s="19">
        <v>1</v>
      </c>
      <c r="E78" s="19"/>
      <c r="F78" s="160"/>
      <c r="G78" s="160"/>
      <c r="H78" s="160"/>
      <c r="I78" s="160"/>
      <c r="J78" s="160">
        <v>1</v>
      </c>
      <c r="K78" s="164"/>
      <c r="L78" s="164"/>
      <c r="M78" s="164"/>
      <c r="N78" s="164"/>
      <c r="O78" s="164"/>
      <c r="P78" s="164"/>
      <c r="Q78" s="164"/>
      <c r="R78" s="164"/>
      <c r="S78" s="164"/>
      <c r="T78" s="164"/>
      <c r="U78" s="164"/>
      <c r="V78" s="164"/>
      <c r="W78" s="164"/>
      <c r="X78" s="164"/>
      <c r="Y78" s="165">
        <v>1</v>
      </c>
      <c r="Z78" s="165"/>
      <c r="AA78" s="27"/>
      <c r="AB78" s="27"/>
      <c r="AC78" s="27"/>
      <c r="AD78" s="184">
        <f t="shared" si="3"/>
        <v>0</v>
      </c>
      <c r="AE78" s="27"/>
      <c r="AF78" s="27"/>
      <c r="AG78" s="27"/>
      <c r="AH78" s="27"/>
      <c r="AI78" s="27"/>
      <c r="AJ78" s="27"/>
      <c r="AK78" s="27"/>
      <c r="AL78" s="27"/>
      <c r="AM78" s="27"/>
      <c r="AN78" s="27"/>
      <c r="AO78" s="27"/>
      <c r="AP78" s="27"/>
      <c r="AQ78" s="27"/>
      <c r="AR78" s="27">
        <v>1</v>
      </c>
      <c r="AS78" s="27"/>
      <c r="AT78" s="27"/>
      <c r="AU78" s="105"/>
      <c r="AV78" s="105"/>
      <c r="AW78" s="105"/>
      <c r="AX78" s="105"/>
      <c r="AY78" s="105"/>
      <c r="AZ78" s="105"/>
      <c r="BA78" s="105"/>
      <c r="BB78" s="105"/>
      <c r="BC78" s="105"/>
      <c r="BD78" s="105"/>
      <c r="BE78" s="105">
        <v>1</v>
      </c>
      <c r="BF78" s="105"/>
      <c r="BG78" s="84"/>
      <c r="BH78" s="84"/>
      <c r="BI78" s="84"/>
      <c r="BJ78" s="84"/>
      <c r="BK78" s="84"/>
      <c r="BL78" s="84"/>
      <c r="BM78" s="84"/>
      <c r="BN78" s="84"/>
      <c r="BO78" s="84"/>
      <c r="BP78" s="84"/>
      <c r="BQ78" s="84"/>
      <c r="BR78" s="84"/>
      <c r="BS78" s="84"/>
      <c r="BT78" s="84"/>
      <c r="BU78" s="84"/>
      <c r="BV78" s="84"/>
      <c r="BW78" s="84"/>
      <c r="BX78" s="84"/>
      <c r="BY78" s="84"/>
      <c r="BZ78" s="84"/>
      <c r="CA78" s="84"/>
      <c r="CB78" s="84"/>
      <c r="CC78" s="84"/>
      <c r="CD78" s="84"/>
      <c r="CE78" s="84"/>
      <c r="CF78" s="84"/>
      <c r="CG78" s="84"/>
      <c r="CH78" s="84"/>
      <c r="CI78" s="84"/>
      <c r="CJ78" s="84"/>
      <c r="CK78" s="84">
        <v>1</v>
      </c>
      <c r="CL78" s="84"/>
      <c r="CM78" s="182"/>
      <c r="CN78" s="182"/>
      <c r="CO78" s="182"/>
      <c r="CP78" s="182"/>
      <c r="CQ78" s="182"/>
      <c r="CR78" s="182">
        <v>1</v>
      </c>
      <c r="CS78" s="182"/>
      <c r="CT78" s="3">
        <f t="shared" si="2"/>
        <v>1</v>
      </c>
      <c r="CU78" s="3"/>
      <c r="CV78" s="1"/>
    </row>
    <row r="79" spans="1:100" x14ac:dyDescent="0.25">
      <c r="A79" t="s">
        <v>92</v>
      </c>
      <c r="B79" s="17" t="s">
        <v>63</v>
      </c>
      <c r="C79" s="18" t="s">
        <v>26</v>
      </c>
      <c r="D79" s="19">
        <v>1</v>
      </c>
      <c r="E79" s="19"/>
      <c r="F79" s="160"/>
      <c r="G79" s="160"/>
      <c r="H79" s="160"/>
      <c r="I79" s="160"/>
      <c r="J79" s="160">
        <v>1</v>
      </c>
      <c r="K79" s="164"/>
      <c r="L79" s="164"/>
      <c r="M79" s="164"/>
      <c r="N79" s="164"/>
      <c r="O79" s="164"/>
      <c r="P79" s="164"/>
      <c r="Q79" s="164"/>
      <c r="R79" s="164"/>
      <c r="S79" s="164"/>
      <c r="T79" s="164"/>
      <c r="U79" s="164"/>
      <c r="V79" s="164"/>
      <c r="W79" s="164"/>
      <c r="X79" s="164"/>
      <c r="Y79" s="165">
        <v>1</v>
      </c>
      <c r="Z79" s="165"/>
      <c r="AA79" s="27"/>
      <c r="AB79" s="27"/>
      <c r="AC79" s="27"/>
      <c r="AD79" s="184">
        <f t="shared" si="3"/>
        <v>0</v>
      </c>
      <c r="AE79" s="27"/>
      <c r="AF79" s="27"/>
      <c r="AG79" s="27"/>
      <c r="AH79" s="27"/>
      <c r="AI79" s="27"/>
      <c r="AJ79" s="27"/>
      <c r="AK79" s="27"/>
      <c r="AL79" s="27"/>
      <c r="AM79" s="27"/>
      <c r="AN79" s="27"/>
      <c r="AO79" s="27"/>
      <c r="AP79" s="27"/>
      <c r="AQ79" s="27"/>
      <c r="AR79" s="27">
        <v>1</v>
      </c>
      <c r="AS79" s="27"/>
      <c r="AT79" s="27"/>
      <c r="AU79" s="105"/>
      <c r="AV79" s="105"/>
      <c r="AW79" s="105"/>
      <c r="AX79" s="105"/>
      <c r="AY79" s="105"/>
      <c r="AZ79" s="105"/>
      <c r="BA79" s="105"/>
      <c r="BB79" s="105"/>
      <c r="BC79" s="105"/>
      <c r="BD79" s="105"/>
      <c r="BE79" s="105">
        <v>1</v>
      </c>
      <c r="BF79" s="105"/>
      <c r="BG79" s="84"/>
      <c r="BH79" s="84"/>
      <c r="BI79" s="84"/>
      <c r="BJ79" s="84"/>
      <c r="BK79" s="84"/>
      <c r="BL79" s="84"/>
      <c r="BM79" s="84"/>
      <c r="BN79" s="84"/>
      <c r="BO79" s="84"/>
      <c r="BP79" s="84"/>
      <c r="BQ79" s="84"/>
      <c r="BR79" s="84"/>
      <c r="BS79" s="84"/>
      <c r="BT79" s="84"/>
      <c r="BU79" s="84"/>
      <c r="BV79" s="84"/>
      <c r="BW79" s="84"/>
      <c r="BX79" s="84"/>
      <c r="BY79" s="84"/>
      <c r="BZ79" s="84"/>
      <c r="CA79" s="84"/>
      <c r="CB79" s="84"/>
      <c r="CC79" s="84"/>
      <c r="CD79" s="84"/>
      <c r="CE79" s="84"/>
      <c r="CF79" s="84"/>
      <c r="CG79" s="84"/>
      <c r="CH79" s="84"/>
      <c r="CI79" s="84"/>
      <c r="CJ79" s="84"/>
      <c r="CK79" s="84">
        <v>1</v>
      </c>
      <c r="CL79" s="84"/>
      <c r="CM79" s="182"/>
      <c r="CN79" s="182"/>
      <c r="CO79" s="182"/>
      <c r="CP79" s="182"/>
      <c r="CQ79" s="182"/>
      <c r="CR79" s="182">
        <v>1</v>
      </c>
      <c r="CS79" s="182"/>
      <c r="CT79" s="3">
        <f t="shared" si="2"/>
        <v>1</v>
      </c>
      <c r="CU79" s="3"/>
      <c r="CV79" s="1" t="s">
        <v>104</v>
      </c>
    </row>
    <row r="80" spans="1:100" x14ac:dyDescent="0.25">
      <c r="A80" t="s">
        <v>94</v>
      </c>
      <c r="B80" s="17" t="s">
        <v>64</v>
      </c>
      <c r="C80" s="18" t="s">
        <v>26</v>
      </c>
      <c r="D80" s="19">
        <v>1</v>
      </c>
      <c r="E80" s="19"/>
      <c r="F80" s="160"/>
      <c r="G80" s="160"/>
      <c r="H80" s="160"/>
      <c r="I80" s="160"/>
      <c r="J80" s="160">
        <v>1</v>
      </c>
      <c r="K80" s="164"/>
      <c r="L80" s="164"/>
      <c r="M80" s="164"/>
      <c r="N80" s="164"/>
      <c r="O80" s="164"/>
      <c r="P80" s="164"/>
      <c r="Q80" s="164"/>
      <c r="R80" s="164"/>
      <c r="S80" s="164"/>
      <c r="T80" s="164"/>
      <c r="U80" s="164"/>
      <c r="V80" s="164"/>
      <c r="W80" s="164"/>
      <c r="X80" s="164"/>
      <c r="Y80" s="165">
        <v>1</v>
      </c>
      <c r="Z80" s="165"/>
      <c r="AA80" s="27"/>
      <c r="AB80" s="27"/>
      <c r="AC80" s="27"/>
      <c r="AD80" s="184">
        <f t="shared" si="3"/>
        <v>0</v>
      </c>
      <c r="AE80" s="27"/>
      <c r="AF80" s="27"/>
      <c r="AG80" s="27"/>
      <c r="AH80" s="27"/>
      <c r="AI80" s="27"/>
      <c r="AJ80" s="27"/>
      <c r="AK80" s="27"/>
      <c r="AL80" s="27"/>
      <c r="AM80" s="27"/>
      <c r="AN80" s="27"/>
      <c r="AO80" s="27"/>
      <c r="AP80" s="27"/>
      <c r="AQ80" s="27"/>
      <c r="AR80" s="27">
        <v>1</v>
      </c>
      <c r="AS80" s="27"/>
      <c r="AT80" s="27"/>
      <c r="AU80" s="105"/>
      <c r="AV80" s="105"/>
      <c r="AW80" s="105"/>
      <c r="AX80" s="105"/>
      <c r="AY80" s="105"/>
      <c r="AZ80" s="105"/>
      <c r="BA80" s="105"/>
      <c r="BB80" s="105"/>
      <c r="BC80" s="105"/>
      <c r="BD80" s="105"/>
      <c r="BE80" s="105">
        <v>1</v>
      </c>
      <c r="BF80" s="105"/>
      <c r="BG80" s="84"/>
      <c r="BH80" s="84"/>
      <c r="BI80" s="84"/>
      <c r="BJ80" s="84"/>
      <c r="BK80" s="84"/>
      <c r="BL80" s="84"/>
      <c r="BM80" s="84"/>
      <c r="BN80" s="84"/>
      <c r="BO80" s="84"/>
      <c r="BP80" s="84"/>
      <c r="BQ80" s="84"/>
      <c r="BR80" s="84"/>
      <c r="BS80" s="84"/>
      <c r="BT80" s="84"/>
      <c r="BU80" s="84"/>
      <c r="BV80" s="84"/>
      <c r="BW80" s="84"/>
      <c r="BX80" s="84"/>
      <c r="BY80" s="84"/>
      <c r="BZ80" s="84"/>
      <c r="CA80" s="84"/>
      <c r="CB80" s="84"/>
      <c r="CC80" s="84"/>
      <c r="CD80" s="84"/>
      <c r="CE80" s="84"/>
      <c r="CF80" s="84"/>
      <c r="CG80" s="84"/>
      <c r="CH80" s="84"/>
      <c r="CI80" s="84"/>
      <c r="CJ80" s="84"/>
      <c r="CK80" s="84">
        <v>1</v>
      </c>
      <c r="CL80" s="84"/>
      <c r="CM80" s="182"/>
      <c r="CN80" s="182"/>
      <c r="CO80" s="182"/>
      <c r="CP80" s="182"/>
      <c r="CQ80" s="182"/>
      <c r="CR80" s="182">
        <v>1</v>
      </c>
      <c r="CS80" s="182"/>
      <c r="CT80" s="3">
        <f t="shared" si="2"/>
        <v>1</v>
      </c>
      <c r="CU80" s="3"/>
      <c r="CV80" s="1" t="s">
        <v>105</v>
      </c>
    </row>
    <row r="81" spans="1:100" x14ac:dyDescent="0.25">
      <c r="A81" t="s">
        <v>92</v>
      </c>
      <c r="B81" s="17" t="s">
        <v>65</v>
      </c>
      <c r="C81" s="18" t="s">
        <v>26</v>
      </c>
      <c r="D81" s="19">
        <v>1</v>
      </c>
      <c r="E81" s="19"/>
      <c r="F81" s="160"/>
      <c r="G81" s="160"/>
      <c r="H81" s="160"/>
      <c r="I81" s="160"/>
      <c r="J81" s="160">
        <v>1</v>
      </c>
      <c r="K81" s="164"/>
      <c r="L81" s="164"/>
      <c r="M81" s="164"/>
      <c r="N81" s="164"/>
      <c r="O81" s="164"/>
      <c r="P81" s="164"/>
      <c r="Q81" s="164"/>
      <c r="R81" s="164"/>
      <c r="S81" s="164"/>
      <c r="T81" s="164"/>
      <c r="U81" s="164"/>
      <c r="V81" s="164"/>
      <c r="W81" s="164"/>
      <c r="X81" s="164"/>
      <c r="Y81" s="165">
        <v>1</v>
      </c>
      <c r="Z81" s="165"/>
      <c r="AA81" s="27"/>
      <c r="AB81" s="27"/>
      <c r="AC81" s="27"/>
      <c r="AD81" s="184">
        <f t="shared" si="3"/>
        <v>0</v>
      </c>
      <c r="AE81" s="27"/>
      <c r="AF81" s="27"/>
      <c r="AG81" s="27"/>
      <c r="AH81" s="27"/>
      <c r="AI81" s="27"/>
      <c r="AJ81" s="27"/>
      <c r="AK81" s="27"/>
      <c r="AL81" s="27"/>
      <c r="AM81" s="27"/>
      <c r="AN81" s="27"/>
      <c r="AO81" s="27"/>
      <c r="AP81" s="27"/>
      <c r="AQ81" s="27"/>
      <c r="AR81" s="27">
        <v>1</v>
      </c>
      <c r="AS81" s="27"/>
      <c r="AT81" s="27"/>
      <c r="AU81" s="105"/>
      <c r="AV81" s="105"/>
      <c r="AW81" s="105"/>
      <c r="AX81" s="105"/>
      <c r="AY81" s="105"/>
      <c r="AZ81" s="105"/>
      <c r="BA81" s="105"/>
      <c r="BB81" s="105"/>
      <c r="BC81" s="105"/>
      <c r="BD81" s="105"/>
      <c r="BE81" s="105">
        <v>1</v>
      </c>
      <c r="BF81" s="105"/>
      <c r="BG81" s="84"/>
      <c r="BH81" s="84"/>
      <c r="BI81" s="84"/>
      <c r="BJ81" s="84"/>
      <c r="BK81" s="84"/>
      <c r="BL81" s="84"/>
      <c r="BM81" s="84"/>
      <c r="BN81" s="84"/>
      <c r="BO81" s="84"/>
      <c r="BP81" s="84"/>
      <c r="BQ81" s="84"/>
      <c r="BR81" s="84"/>
      <c r="BS81" s="84"/>
      <c r="BT81" s="84"/>
      <c r="BU81" s="84"/>
      <c r="BV81" s="84"/>
      <c r="BW81" s="84"/>
      <c r="BX81" s="84"/>
      <c r="BY81" s="84"/>
      <c r="BZ81" s="84"/>
      <c r="CA81" s="84"/>
      <c r="CB81" s="84"/>
      <c r="CC81" s="84"/>
      <c r="CD81" s="84"/>
      <c r="CE81" s="84"/>
      <c r="CF81" s="84"/>
      <c r="CG81" s="84"/>
      <c r="CH81" s="84"/>
      <c r="CI81" s="84"/>
      <c r="CJ81" s="84"/>
      <c r="CK81" s="84">
        <v>1</v>
      </c>
      <c r="CL81" s="84"/>
      <c r="CM81" s="182"/>
      <c r="CN81" s="182"/>
      <c r="CO81" s="182"/>
      <c r="CP81" s="182"/>
      <c r="CQ81" s="182"/>
      <c r="CR81" s="182">
        <v>1</v>
      </c>
      <c r="CS81" s="182"/>
      <c r="CT81" s="3">
        <f t="shared" si="2"/>
        <v>1</v>
      </c>
      <c r="CU81" s="3"/>
      <c r="CV81" s="1" t="s">
        <v>106</v>
      </c>
    </row>
    <row r="82" spans="1:100" x14ac:dyDescent="0.25">
      <c r="A82" t="s">
        <v>93</v>
      </c>
      <c r="B82" s="17" t="s">
        <v>66</v>
      </c>
      <c r="C82" s="18" t="s">
        <v>26</v>
      </c>
      <c r="D82" s="19">
        <v>1</v>
      </c>
      <c r="E82" s="19"/>
      <c r="F82" s="160"/>
      <c r="G82" s="160"/>
      <c r="H82" s="160"/>
      <c r="I82" s="160"/>
      <c r="J82" s="160">
        <v>1</v>
      </c>
      <c r="K82" s="164"/>
      <c r="L82" s="164"/>
      <c r="M82" s="164"/>
      <c r="N82" s="164"/>
      <c r="O82" s="164"/>
      <c r="P82" s="164"/>
      <c r="Q82" s="164"/>
      <c r="R82" s="164"/>
      <c r="S82" s="164"/>
      <c r="T82" s="164"/>
      <c r="U82" s="164"/>
      <c r="V82" s="164"/>
      <c r="W82" s="164"/>
      <c r="X82" s="164"/>
      <c r="Y82" s="165">
        <v>1</v>
      </c>
      <c r="Z82" s="165"/>
      <c r="AA82" s="27"/>
      <c r="AB82" s="27"/>
      <c r="AC82" s="27"/>
      <c r="AD82" s="184">
        <f t="shared" si="3"/>
        <v>0</v>
      </c>
      <c r="AE82" s="27"/>
      <c r="AF82" s="27"/>
      <c r="AG82" s="27"/>
      <c r="AH82" s="27"/>
      <c r="AI82" s="27"/>
      <c r="AJ82" s="27"/>
      <c r="AK82" s="27"/>
      <c r="AL82" s="27"/>
      <c r="AM82" s="27"/>
      <c r="AN82" s="27"/>
      <c r="AO82" s="27"/>
      <c r="AP82" s="27"/>
      <c r="AQ82" s="27"/>
      <c r="AR82" s="27">
        <v>1</v>
      </c>
      <c r="AS82" s="27"/>
      <c r="AT82" s="27"/>
      <c r="AU82" s="105"/>
      <c r="AV82" s="105"/>
      <c r="AW82" s="105"/>
      <c r="AX82" s="105"/>
      <c r="AY82" s="105"/>
      <c r="AZ82" s="105"/>
      <c r="BA82" s="105"/>
      <c r="BB82" s="105"/>
      <c r="BC82" s="105"/>
      <c r="BD82" s="105"/>
      <c r="BE82" s="105">
        <v>1</v>
      </c>
      <c r="BF82" s="105"/>
      <c r="BG82" s="84"/>
      <c r="BH82" s="84"/>
      <c r="BI82" s="84"/>
      <c r="BJ82" s="84"/>
      <c r="BK82" s="84"/>
      <c r="BL82" s="84"/>
      <c r="BM82" s="84"/>
      <c r="BN82" s="84"/>
      <c r="BO82" s="84"/>
      <c r="BP82" s="84"/>
      <c r="BQ82" s="84"/>
      <c r="BR82" s="84"/>
      <c r="BS82" s="84"/>
      <c r="BT82" s="84"/>
      <c r="BU82" s="84"/>
      <c r="BV82" s="84"/>
      <c r="BW82" s="84"/>
      <c r="BX82" s="84"/>
      <c r="BY82" s="84"/>
      <c r="BZ82" s="84"/>
      <c r="CA82" s="84"/>
      <c r="CB82" s="84"/>
      <c r="CC82" s="84"/>
      <c r="CD82" s="84"/>
      <c r="CE82" s="84"/>
      <c r="CF82" s="84"/>
      <c r="CG82" s="84"/>
      <c r="CH82" s="84"/>
      <c r="CI82" s="84"/>
      <c r="CJ82" s="84"/>
      <c r="CK82" s="84">
        <v>1</v>
      </c>
      <c r="CL82" s="84"/>
      <c r="CM82" s="182"/>
      <c r="CN82" s="182"/>
      <c r="CO82" s="182"/>
      <c r="CP82" s="182"/>
      <c r="CQ82" s="182"/>
      <c r="CR82" s="182">
        <v>1</v>
      </c>
      <c r="CS82" s="182"/>
      <c r="CT82" s="3">
        <f t="shared" si="2"/>
        <v>1</v>
      </c>
      <c r="CU82" s="3"/>
      <c r="CV82" s="1" t="s">
        <v>107</v>
      </c>
    </row>
    <row r="83" spans="1:100" x14ac:dyDescent="0.25">
      <c r="A83" t="s">
        <v>94</v>
      </c>
      <c r="B83" s="17" t="s">
        <v>69</v>
      </c>
      <c r="C83" s="19" t="s">
        <v>26</v>
      </c>
      <c r="D83" s="19">
        <v>1</v>
      </c>
      <c r="E83" s="19"/>
      <c r="F83" s="160"/>
      <c r="G83" s="160"/>
      <c r="H83" s="160"/>
      <c r="I83" s="160"/>
      <c r="J83" s="160">
        <v>1</v>
      </c>
      <c r="K83" s="164"/>
      <c r="L83" s="164"/>
      <c r="M83" s="164"/>
      <c r="N83" s="164"/>
      <c r="O83" s="164"/>
      <c r="P83" s="164"/>
      <c r="Q83" s="164"/>
      <c r="R83" s="164"/>
      <c r="S83" s="164"/>
      <c r="T83" s="164"/>
      <c r="U83" s="164"/>
      <c r="V83" s="164"/>
      <c r="W83" s="164"/>
      <c r="X83" s="164"/>
      <c r="Y83" s="165">
        <v>1</v>
      </c>
      <c r="Z83" s="165"/>
      <c r="AA83" s="27"/>
      <c r="AB83" s="27"/>
      <c r="AC83" s="27"/>
      <c r="AD83" s="184">
        <f t="shared" si="3"/>
        <v>0</v>
      </c>
      <c r="AE83" s="27"/>
      <c r="AF83" s="27"/>
      <c r="AG83" s="27"/>
      <c r="AH83" s="27"/>
      <c r="AI83" s="27"/>
      <c r="AJ83" s="27"/>
      <c r="AK83" s="27"/>
      <c r="AL83" s="27"/>
      <c r="AM83" s="27"/>
      <c r="AN83" s="27"/>
      <c r="AO83" s="27"/>
      <c r="AP83" s="27"/>
      <c r="AQ83" s="27"/>
      <c r="AR83" s="27">
        <v>1</v>
      </c>
      <c r="AS83" s="27"/>
      <c r="AT83" s="27"/>
      <c r="AU83" s="105"/>
      <c r="AV83" s="105"/>
      <c r="AW83" s="105"/>
      <c r="AX83" s="105"/>
      <c r="AY83" s="105"/>
      <c r="AZ83" s="105"/>
      <c r="BA83" s="105"/>
      <c r="BB83" s="105"/>
      <c r="BC83" s="105"/>
      <c r="BD83" s="105"/>
      <c r="BE83" s="105">
        <v>1</v>
      </c>
      <c r="BF83" s="105"/>
      <c r="BG83" s="84"/>
      <c r="BH83" s="84"/>
      <c r="BI83" s="84"/>
      <c r="BJ83" s="84"/>
      <c r="BK83" s="84"/>
      <c r="BL83" s="84"/>
      <c r="BM83" s="84"/>
      <c r="BN83" s="84"/>
      <c r="BO83" s="84"/>
      <c r="BP83" s="84"/>
      <c r="BQ83" s="84"/>
      <c r="BR83" s="84"/>
      <c r="BS83" s="84"/>
      <c r="BT83" s="84"/>
      <c r="BU83" s="84"/>
      <c r="BV83" s="84"/>
      <c r="BW83" s="84"/>
      <c r="BX83" s="84"/>
      <c r="BY83" s="84"/>
      <c r="BZ83" s="84"/>
      <c r="CA83" s="84"/>
      <c r="CB83" s="84"/>
      <c r="CC83" s="84"/>
      <c r="CD83" s="84"/>
      <c r="CE83" s="84"/>
      <c r="CF83" s="84"/>
      <c r="CG83" s="84"/>
      <c r="CH83" s="84"/>
      <c r="CI83" s="84"/>
      <c r="CJ83" s="84"/>
      <c r="CK83" s="84">
        <v>1</v>
      </c>
      <c r="CL83" s="84"/>
      <c r="CM83" s="182"/>
      <c r="CN83" s="182"/>
      <c r="CO83" s="182"/>
      <c r="CP83" s="182"/>
      <c r="CQ83" s="182"/>
      <c r="CR83" s="182">
        <v>1</v>
      </c>
      <c r="CS83" s="182"/>
      <c r="CT83" s="3">
        <f t="shared" si="2"/>
        <v>1</v>
      </c>
      <c r="CU83" s="3"/>
      <c r="CV83" s="1"/>
    </row>
    <row r="84" spans="1:100" x14ac:dyDescent="0.25">
      <c r="A84" t="s">
        <v>92</v>
      </c>
      <c r="B84" s="17" t="s">
        <v>70</v>
      </c>
      <c r="C84" s="18" t="s">
        <v>26</v>
      </c>
      <c r="D84" s="19">
        <v>1</v>
      </c>
      <c r="E84" s="19"/>
      <c r="F84" s="160"/>
      <c r="G84" s="160"/>
      <c r="H84" s="160"/>
      <c r="I84" s="160"/>
      <c r="J84" s="160">
        <v>1</v>
      </c>
      <c r="K84" s="164"/>
      <c r="L84" s="164"/>
      <c r="M84" s="164"/>
      <c r="N84" s="164"/>
      <c r="O84" s="164"/>
      <c r="P84" s="164"/>
      <c r="Q84" s="164"/>
      <c r="R84" s="164"/>
      <c r="S84" s="164"/>
      <c r="T84" s="164"/>
      <c r="U84" s="164"/>
      <c r="V84" s="164"/>
      <c r="W84" s="164"/>
      <c r="X84" s="164"/>
      <c r="Y84" s="165">
        <v>1</v>
      </c>
      <c r="Z84" s="165"/>
      <c r="AA84" s="27"/>
      <c r="AB84" s="27"/>
      <c r="AC84" s="27"/>
      <c r="AD84" s="184">
        <f t="shared" si="3"/>
        <v>0</v>
      </c>
      <c r="AE84" s="27"/>
      <c r="AF84" s="27"/>
      <c r="AG84" s="27"/>
      <c r="AH84" s="27"/>
      <c r="AI84" s="27"/>
      <c r="AJ84" s="27"/>
      <c r="AK84" s="27"/>
      <c r="AL84" s="27"/>
      <c r="AM84" s="27"/>
      <c r="AN84" s="27"/>
      <c r="AO84" s="27"/>
      <c r="AP84" s="27"/>
      <c r="AQ84" s="27"/>
      <c r="AR84" s="27">
        <v>1</v>
      </c>
      <c r="AS84" s="27"/>
      <c r="AT84" s="27"/>
      <c r="AU84" s="105"/>
      <c r="AV84" s="105"/>
      <c r="AW84" s="105"/>
      <c r="AX84" s="105"/>
      <c r="AY84" s="105"/>
      <c r="AZ84" s="105"/>
      <c r="BA84" s="105"/>
      <c r="BB84" s="105"/>
      <c r="BC84" s="105"/>
      <c r="BD84" s="105"/>
      <c r="BE84" s="105">
        <v>1</v>
      </c>
      <c r="BF84" s="105"/>
      <c r="BG84" s="84"/>
      <c r="BH84" s="84"/>
      <c r="BI84" s="84"/>
      <c r="BJ84" s="84"/>
      <c r="BK84" s="84"/>
      <c r="BL84" s="84"/>
      <c r="BM84" s="84"/>
      <c r="BN84" s="84"/>
      <c r="BO84" s="84"/>
      <c r="BP84" s="84"/>
      <c r="BQ84" s="84"/>
      <c r="BR84" s="84"/>
      <c r="BS84" s="84"/>
      <c r="BT84" s="84"/>
      <c r="BU84" s="84"/>
      <c r="BV84" s="84"/>
      <c r="BW84" s="84"/>
      <c r="BX84" s="84"/>
      <c r="BY84" s="84"/>
      <c r="BZ84" s="84"/>
      <c r="CA84" s="84"/>
      <c r="CB84" s="84"/>
      <c r="CC84" s="84"/>
      <c r="CD84" s="84"/>
      <c r="CE84" s="84"/>
      <c r="CF84" s="84"/>
      <c r="CG84" s="84"/>
      <c r="CH84" s="84"/>
      <c r="CI84" s="84"/>
      <c r="CJ84" s="84"/>
      <c r="CK84" s="84">
        <v>1</v>
      </c>
      <c r="CL84" s="84"/>
      <c r="CM84" s="182"/>
      <c r="CN84" s="182"/>
      <c r="CO84" s="182"/>
      <c r="CP84" s="182"/>
      <c r="CQ84" s="182"/>
      <c r="CR84" s="182">
        <v>1</v>
      </c>
      <c r="CS84" s="182"/>
      <c r="CT84" s="3">
        <f t="shared" si="2"/>
        <v>1</v>
      </c>
      <c r="CU84" s="3"/>
      <c r="CV84" s="1" t="s">
        <v>106</v>
      </c>
    </row>
    <row r="85" spans="1:100" x14ac:dyDescent="0.25">
      <c r="A85" t="s">
        <v>94</v>
      </c>
      <c r="B85" s="17" t="s">
        <v>71</v>
      </c>
      <c r="C85" s="18" t="s">
        <v>26</v>
      </c>
      <c r="D85" s="19">
        <v>1</v>
      </c>
      <c r="E85" s="19"/>
      <c r="F85" s="160"/>
      <c r="G85" s="160"/>
      <c r="H85" s="160"/>
      <c r="I85" s="160"/>
      <c r="J85" s="160">
        <v>1</v>
      </c>
      <c r="K85" s="164"/>
      <c r="L85" s="164"/>
      <c r="M85" s="164"/>
      <c r="N85" s="164"/>
      <c r="O85" s="164"/>
      <c r="P85" s="164"/>
      <c r="Q85" s="164"/>
      <c r="R85" s="164"/>
      <c r="S85" s="164"/>
      <c r="T85" s="164"/>
      <c r="U85" s="164"/>
      <c r="V85" s="164"/>
      <c r="W85" s="164"/>
      <c r="X85" s="164"/>
      <c r="Y85" s="165">
        <v>1</v>
      </c>
      <c r="Z85" s="165"/>
      <c r="AA85" s="27"/>
      <c r="AB85" s="27"/>
      <c r="AC85" s="27"/>
      <c r="AD85" s="184">
        <f t="shared" si="3"/>
        <v>0</v>
      </c>
      <c r="AE85" s="27"/>
      <c r="AF85" s="27"/>
      <c r="AG85" s="27"/>
      <c r="AH85" s="27"/>
      <c r="AI85" s="27"/>
      <c r="AJ85" s="27"/>
      <c r="AK85" s="27"/>
      <c r="AL85" s="27"/>
      <c r="AM85" s="27"/>
      <c r="AN85" s="27"/>
      <c r="AO85" s="27"/>
      <c r="AP85" s="27"/>
      <c r="AQ85" s="27"/>
      <c r="AR85" s="27">
        <v>1</v>
      </c>
      <c r="AS85" s="27"/>
      <c r="AT85" s="27"/>
      <c r="AU85" s="105"/>
      <c r="AV85" s="105"/>
      <c r="AW85" s="105"/>
      <c r="AX85" s="105"/>
      <c r="AY85" s="105"/>
      <c r="AZ85" s="105"/>
      <c r="BA85" s="105"/>
      <c r="BB85" s="105"/>
      <c r="BC85" s="105"/>
      <c r="BD85" s="105"/>
      <c r="BE85" s="105">
        <v>1</v>
      </c>
      <c r="BF85" s="105"/>
      <c r="BG85" s="84"/>
      <c r="BH85" s="84"/>
      <c r="BI85" s="84"/>
      <c r="BJ85" s="84"/>
      <c r="BK85" s="84"/>
      <c r="BL85" s="84"/>
      <c r="BM85" s="84"/>
      <c r="BN85" s="84"/>
      <c r="BO85" s="84"/>
      <c r="BP85" s="84"/>
      <c r="BQ85" s="84"/>
      <c r="BR85" s="84"/>
      <c r="BS85" s="84"/>
      <c r="BT85" s="84"/>
      <c r="BU85" s="84"/>
      <c r="BV85" s="84"/>
      <c r="BW85" s="84"/>
      <c r="BX85" s="84"/>
      <c r="BY85" s="84"/>
      <c r="BZ85" s="84"/>
      <c r="CA85" s="84"/>
      <c r="CB85" s="84"/>
      <c r="CC85" s="84"/>
      <c r="CD85" s="84"/>
      <c r="CE85" s="84"/>
      <c r="CF85" s="84"/>
      <c r="CG85" s="84"/>
      <c r="CH85" s="84"/>
      <c r="CI85" s="84"/>
      <c r="CJ85" s="84"/>
      <c r="CK85" s="84">
        <v>1</v>
      </c>
      <c r="CL85" s="84"/>
      <c r="CM85" s="182"/>
      <c r="CN85" s="182"/>
      <c r="CO85" s="182"/>
      <c r="CP85" s="182"/>
      <c r="CQ85" s="182"/>
      <c r="CR85" s="182">
        <v>1</v>
      </c>
      <c r="CS85" s="182"/>
      <c r="CT85" s="3">
        <f t="shared" si="2"/>
        <v>1</v>
      </c>
      <c r="CU85" s="3"/>
      <c r="CV85" s="1" t="s">
        <v>108</v>
      </c>
    </row>
    <row r="86" spans="1:100" x14ac:dyDescent="0.25">
      <c r="A86" t="s">
        <v>92</v>
      </c>
      <c r="B86" s="17" t="s">
        <v>72</v>
      </c>
      <c r="C86" s="18" t="s">
        <v>26</v>
      </c>
      <c r="D86" s="19">
        <v>1</v>
      </c>
      <c r="E86" s="19"/>
      <c r="F86" s="160"/>
      <c r="G86" s="160"/>
      <c r="H86" s="160"/>
      <c r="I86" s="160"/>
      <c r="J86" s="160">
        <v>1</v>
      </c>
      <c r="K86" s="164"/>
      <c r="L86" s="164"/>
      <c r="M86" s="164"/>
      <c r="N86" s="164"/>
      <c r="O86" s="164"/>
      <c r="P86" s="164"/>
      <c r="Q86" s="164"/>
      <c r="R86" s="164"/>
      <c r="S86" s="164"/>
      <c r="T86" s="164"/>
      <c r="U86" s="164"/>
      <c r="V86" s="164"/>
      <c r="W86" s="164"/>
      <c r="X86" s="164"/>
      <c r="Y86" s="165">
        <v>1</v>
      </c>
      <c r="Z86" s="165"/>
      <c r="AA86" s="27"/>
      <c r="AB86" s="27"/>
      <c r="AC86" s="27"/>
      <c r="AD86" s="184">
        <f t="shared" si="3"/>
        <v>0</v>
      </c>
      <c r="AE86" s="27"/>
      <c r="AF86" s="27"/>
      <c r="AG86" s="27"/>
      <c r="AH86" s="27"/>
      <c r="AI86" s="27"/>
      <c r="AJ86" s="27"/>
      <c r="AK86" s="27"/>
      <c r="AL86" s="27"/>
      <c r="AM86" s="27"/>
      <c r="AN86" s="27"/>
      <c r="AO86" s="27"/>
      <c r="AP86" s="27"/>
      <c r="AQ86" s="27"/>
      <c r="AR86" s="27">
        <v>1</v>
      </c>
      <c r="AS86" s="27"/>
      <c r="AT86" s="27"/>
      <c r="AU86" s="105"/>
      <c r="AV86" s="105"/>
      <c r="AW86" s="105"/>
      <c r="AX86" s="105"/>
      <c r="AY86" s="105"/>
      <c r="AZ86" s="105"/>
      <c r="BA86" s="105"/>
      <c r="BB86" s="105"/>
      <c r="BC86" s="105"/>
      <c r="BD86" s="105"/>
      <c r="BE86" s="105">
        <v>1</v>
      </c>
      <c r="BF86" s="105"/>
      <c r="BG86" s="84"/>
      <c r="BH86" s="84"/>
      <c r="BI86" s="84"/>
      <c r="BJ86" s="84"/>
      <c r="BK86" s="84"/>
      <c r="BL86" s="84"/>
      <c r="BM86" s="84"/>
      <c r="BN86" s="84"/>
      <c r="BO86" s="84"/>
      <c r="BP86" s="84"/>
      <c r="BQ86" s="84"/>
      <c r="BR86" s="84"/>
      <c r="BS86" s="84"/>
      <c r="BT86" s="84"/>
      <c r="BU86" s="84"/>
      <c r="BV86" s="84"/>
      <c r="BW86" s="84"/>
      <c r="BX86" s="84"/>
      <c r="BY86" s="84"/>
      <c r="BZ86" s="84"/>
      <c r="CA86" s="84"/>
      <c r="CB86" s="84"/>
      <c r="CC86" s="84"/>
      <c r="CD86" s="84"/>
      <c r="CE86" s="84"/>
      <c r="CF86" s="84"/>
      <c r="CG86" s="84"/>
      <c r="CH86" s="84"/>
      <c r="CI86" s="84"/>
      <c r="CJ86" s="84"/>
      <c r="CK86" s="84">
        <v>1</v>
      </c>
      <c r="CL86" s="84"/>
      <c r="CM86" s="182"/>
      <c r="CN86" s="182"/>
      <c r="CO86" s="182"/>
      <c r="CP86" s="182"/>
      <c r="CQ86" s="182"/>
      <c r="CR86" s="182">
        <v>1</v>
      </c>
      <c r="CS86" s="182"/>
      <c r="CT86" s="3">
        <f t="shared" si="2"/>
        <v>1</v>
      </c>
      <c r="CU86" s="3"/>
      <c r="CV86" s="1" t="s">
        <v>108</v>
      </c>
    </row>
    <row r="87" spans="1:100" x14ac:dyDescent="0.25">
      <c r="A87" t="s">
        <v>93</v>
      </c>
      <c r="B87" s="21" t="s">
        <v>81</v>
      </c>
      <c r="C87" s="2"/>
      <c r="D87" s="151">
        <f>SUM(D12:D86)</f>
        <v>65</v>
      </c>
      <c r="E87" s="151"/>
      <c r="F87" s="161"/>
      <c r="G87" s="161"/>
      <c r="H87" s="161"/>
      <c r="I87" s="161"/>
      <c r="J87" s="161">
        <v>1</v>
      </c>
      <c r="K87" s="166"/>
      <c r="L87" s="166"/>
      <c r="M87" s="166"/>
      <c r="N87" s="166"/>
      <c r="O87" s="166"/>
      <c r="P87" s="166"/>
      <c r="Q87" s="166"/>
      <c r="R87" s="166"/>
      <c r="S87" s="166"/>
      <c r="T87" s="166"/>
      <c r="U87" s="166"/>
      <c r="V87" s="166"/>
      <c r="W87" s="166"/>
      <c r="X87" s="166"/>
      <c r="Y87" s="165">
        <f>SUM(Y12:Y86)</f>
        <v>64</v>
      </c>
      <c r="Z87" s="165"/>
      <c r="AA87" s="27"/>
      <c r="AB87" s="27"/>
      <c r="AC87" s="27"/>
      <c r="AD87" s="27"/>
      <c r="AE87" s="27"/>
      <c r="AF87" s="27"/>
      <c r="AG87" s="27"/>
      <c r="AH87" s="27"/>
      <c r="AI87" s="27"/>
      <c r="AJ87" s="27"/>
      <c r="AK87" s="27"/>
      <c r="AL87" s="27"/>
      <c r="AM87" s="27"/>
      <c r="AN87" s="27"/>
      <c r="AO87" s="27"/>
      <c r="AP87" s="27"/>
      <c r="AQ87" s="27"/>
      <c r="AR87" s="27">
        <f>SUM(AR12:AR86)</f>
        <v>64</v>
      </c>
      <c r="AS87" s="27"/>
      <c r="AT87" s="27"/>
      <c r="AU87" s="105"/>
      <c r="AV87" s="105"/>
      <c r="AW87" s="105"/>
      <c r="AX87" s="105"/>
      <c r="AY87" s="105"/>
      <c r="AZ87" s="105"/>
      <c r="BA87" s="105"/>
      <c r="BB87" s="105"/>
      <c r="BC87" s="105"/>
      <c r="BD87" s="105"/>
      <c r="BE87" s="105">
        <f>SUM(BE12:BE86)</f>
        <v>64</v>
      </c>
      <c r="BF87" s="105"/>
      <c r="BG87" s="84"/>
      <c r="BH87" s="84"/>
      <c r="BI87" s="84"/>
      <c r="BJ87" s="84"/>
      <c r="BK87" s="84"/>
      <c r="BL87" s="84"/>
      <c r="BM87" s="84"/>
      <c r="BN87" s="84"/>
      <c r="BO87" s="84"/>
      <c r="BP87" s="84"/>
      <c r="BQ87" s="84"/>
      <c r="BR87" s="84"/>
      <c r="BS87" s="84"/>
      <c r="BT87" s="84"/>
      <c r="BU87" s="84"/>
      <c r="BV87" s="84"/>
      <c r="BW87" s="84"/>
      <c r="BX87" s="84"/>
      <c r="BY87" s="84"/>
      <c r="BZ87" s="84"/>
      <c r="CA87" s="84"/>
      <c r="CB87" s="84"/>
      <c r="CC87" s="84"/>
      <c r="CD87" s="84"/>
      <c r="CE87" s="84"/>
      <c r="CF87" s="84"/>
      <c r="CG87" s="84"/>
      <c r="CH87" s="84"/>
      <c r="CI87" s="84"/>
      <c r="CJ87" s="84"/>
      <c r="CK87" s="84">
        <f>SUM(CK12:CK86)</f>
        <v>64</v>
      </c>
      <c r="CL87" s="84"/>
      <c r="CM87" s="182"/>
      <c r="CN87" s="182"/>
      <c r="CO87" s="182"/>
      <c r="CP87" s="182"/>
      <c r="CQ87" s="182"/>
      <c r="CR87" s="182">
        <f>SUM(CR12:CR86)</f>
        <v>64</v>
      </c>
      <c r="CS87" s="182"/>
      <c r="CT87" s="3">
        <f>SUM(CT12:CT86)</f>
        <v>64</v>
      </c>
      <c r="CU87" s="137"/>
    </row>
  </sheetData>
  <autoFilter ref="A3:CV87" xr:uid="{FA9790B3-B3F4-409E-883C-BF8E0B074F96}">
    <filterColumn colId="11" showButton="0"/>
    <filterColumn colId="12" showButton="0"/>
    <filterColumn colId="13" showButton="0"/>
    <filterColumn colId="14" showButton="0"/>
    <filterColumn colId="15" showButton="0"/>
    <filterColumn colId="16" showButton="0"/>
    <filterColumn colId="18" showButton="0"/>
    <filterColumn colId="19" showButton="0"/>
    <filterColumn colId="20" showButton="0"/>
    <filterColumn colId="21" showButton="0"/>
    <filterColumn colId="22" showButton="0"/>
    <filterColumn colId="23" showButton="0"/>
    <filterColumn colId="28" showButton="0"/>
    <filterColumn colId="29" showButton="0"/>
    <filterColumn colId="30" showButton="0"/>
    <filterColumn colId="32" showButton="0"/>
    <filterColumn colId="33" showButton="0"/>
    <filterColumn colId="34" showButton="0"/>
    <filterColumn colId="36" showButton="0"/>
    <filterColumn colId="37" showButton="0"/>
    <filterColumn colId="38" showButton="0"/>
    <filterColumn colId="40" showButton="0"/>
    <filterColumn colId="41" showButton="0"/>
    <filterColumn colId="42" showButton="0"/>
    <filterColumn colId="49" showButton="0"/>
    <filterColumn colId="50" showButton="0"/>
    <filterColumn colId="52" showButton="0"/>
    <filterColumn colId="54" showButton="0"/>
    <filterColumn colId="55" showButton="0"/>
    <filterColumn colId="63" showButton="0"/>
    <filterColumn colId="64" showButton="0"/>
    <filterColumn colId="65" showButton="0"/>
    <filterColumn colId="67" showButton="0"/>
    <filterColumn colId="68" showButton="0"/>
    <filterColumn colId="69" showButton="0"/>
    <filterColumn colId="70" showButton="0"/>
    <filterColumn colId="71" showButton="0"/>
    <filterColumn colId="72" showButton="0"/>
    <filterColumn colId="73" showButton="0"/>
    <filterColumn colId="74" showButton="0"/>
    <filterColumn colId="75" showButton="0"/>
    <filterColumn colId="76" showButton="0"/>
    <filterColumn colId="77" showButton="0"/>
    <filterColumn colId="78" showButton="0"/>
    <filterColumn colId="79" showButton="0"/>
    <filterColumn colId="80" showButton="0"/>
    <filterColumn colId="81" showButton="0"/>
    <filterColumn colId="82" showButton="0"/>
    <filterColumn colId="83" showButton="0"/>
    <filterColumn colId="84" showButton="0"/>
    <filterColumn colId="85" showButton="0"/>
    <filterColumn colId="86" showButton="0"/>
    <filterColumn colId="87" showButton="0"/>
    <filterColumn colId="91" showButton="0"/>
    <filterColumn colId="92" showButton="0"/>
    <filterColumn colId="93" showButton="0"/>
  </autoFilter>
  <mergeCells count="64">
    <mergeCell ref="J13:J16"/>
    <mergeCell ref="CM17:CM20"/>
    <mergeCell ref="B1:CV1"/>
    <mergeCell ref="AV17:AV20"/>
    <mergeCell ref="AW17:AW20"/>
    <mergeCell ref="BN17:BN20"/>
    <mergeCell ref="L17:L20"/>
    <mergeCell ref="M17:M20"/>
    <mergeCell ref="N17:N20"/>
    <mergeCell ref="R17:R20"/>
    <mergeCell ref="AV13:AV16"/>
    <mergeCell ref="AW13:AW16"/>
    <mergeCell ref="CM13:CM16"/>
    <mergeCell ref="B17:B20"/>
    <mergeCell ref="C17:C20"/>
    <mergeCell ref="J17:J20"/>
    <mergeCell ref="BN5:BN8"/>
    <mergeCell ref="L13:L16"/>
    <mergeCell ref="AV9:AV12"/>
    <mergeCell ref="AW9:AW12"/>
    <mergeCell ref="BN9:BN12"/>
    <mergeCell ref="BN13:BN16"/>
    <mergeCell ref="R13:R16"/>
    <mergeCell ref="M13:M16"/>
    <mergeCell ref="N13:N16"/>
    <mergeCell ref="CM3:CS3"/>
    <mergeCell ref="BG3:CL3"/>
    <mergeCell ref="B9:B12"/>
    <mergeCell ref="C9:C12"/>
    <mergeCell ref="J9:J12"/>
    <mergeCell ref="L9:L12"/>
    <mergeCell ref="AV5:AV8"/>
    <mergeCell ref="L5:L8"/>
    <mergeCell ref="M5:M8"/>
    <mergeCell ref="N5:N8"/>
    <mergeCell ref="R5:R8"/>
    <mergeCell ref="CM5:CM8"/>
    <mergeCell ref="CM9:CM12"/>
    <mergeCell ref="M9:M12"/>
    <mergeCell ref="N9:N12"/>
    <mergeCell ref="R9:R12"/>
    <mergeCell ref="AU3:BF3"/>
    <mergeCell ref="AA3:AS3"/>
    <mergeCell ref="B5:B8"/>
    <mergeCell ref="C5:C8"/>
    <mergeCell ref="J5:J8"/>
    <mergeCell ref="K3:Z3"/>
    <mergeCell ref="F3:J3"/>
    <mergeCell ref="AW5:AW8"/>
    <mergeCell ref="B21:B24"/>
    <mergeCell ref="C21:C24"/>
    <mergeCell ref="D5:D8"/>
    <mergeCell ref="D9:D12"/>
    <mergeCell ref="D13:D16"/>
    <mergeCell ref="D17:D20"/>
    <mergeCell ref="D21:D24"/>
    <mergeCell ref="B13:B16"/>
    <mergeCell ref="C13:C16"/>
    <mergeCell ref="CM21:CM24"/>
    <mergeCell ref="N21:N24"/>
    <mergeCell ref="R21:R24"/>
    <mergeCell ref="J21:J24"/>
    <mergeCell ref="L21:L24"/>
    <mergeCell ref="M21:M2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852D3-E5AF-4A23-AA84-1070F6DAAAC9}">
  <dimension ref="A1:AE32"/>
  <sheetViews>
    <sheetView zoomScale="85" zoomScaleNormal="85" workbookViewId="0">
      <selection activeCell="J5" sqref="J5:J8"/>
    </sheetView>
  </sheetViews>
  <sheetFormatPr baseColWidth="10" defaultRowHeight="15" x14ac:dyDescent="0.25"/>
  <cols>
    <col min="1" max="1" width="4.28515625" customWidth="1"/>
    <col min="2" max="2" width="17.28515625" customWidth="1"/>
    <col min="3" max="4" width="15.85546875" customWidth="1"/>
    <col min="5" max="5" width="14.42578125" customWidth="1"/>
    <col min="6" max="7" width="8" style="31" customWidth="1"/>
    <col min="8" max="12" width="8" customWidth="1"/>
    <col min="13" max="13" width="16.85546875" customWidth="1"/>
    <col min="14" max="14" width="29.7109375" customWidth="1"/>
    <col min="15" max="15" width="16.85546875" customWidth="1"/>
    <col min="16" max="16" width="8.7109375" customWidth="1"/>
    <col min="17" max="17" width="9.5703125" style="31" customWidth="1"/>
    <col min="18" max="18" width="8.7109375" customWidth="1"/>
    <col min="19" max="19" width="8.7109375" style="31" customWidth="1"/>
    <col min="20" max="20" width="8.7109375" customWidth="1"/>
    <col min="21" max="21" width="8.7109375" style="31" customWidth="1"/>
    <col min="22" max="27" width="8.7109375" customWidth="1"/>
    <col min="28" max="28" width="21.5703125" customWidth="1"/>
    <col min="31" max="31" width="36.42578125" customWidth="1"/>
  </cols>
  <sheetData>
    <row r="1" spans="1:31" x14ac:dyDescent="0.25">
      <c r="B1" s="94"/>
      <c r="C1" s="340" t="s">
        <v>0</v>
      </c>
      <c r="D1" s="341"/>
      <c r="E1" s="341"/>
      <c r="F1" s="341"/>
      <c r="G1" s="341"/>
      <c r="H1" s="341"/>
      <c r="I1" s="341"/>
      <c r="J1" s="341"/>
      <c r="K1" s="341"/>
      <c r="L1" s="342"/>
      <c r="M1" s="343" t="s">
        <v>3</v>
      </c>
      <c r="N1" s="344"/>
      <c r="O1" s="344"/>
      <c r="P1" s="344"/>
      <c r="Q1" s="344"/>
      <c r="R1" s="344"/>
      <c r="S1" s="344"/>
      <c r="T1" s="344"/>
      <c r="U1" s="344"/>
      <c r="V1" s="344"/>
      <c r="W1" s="344"/>
      <c r="X1" s="344"/>
      <c r="Y1" s="344"/>
      <c r="Z1" s="344"/>
      <c r="AA1" s="345"/>
      <c r="AB1" s="14"/>
    </row>
    <row r="2" spans="1:31" ht="40.15" customHeight="1" thickBot="1" x14ac:dyDescent="0.3">
      <c r="B2" s="95" t="s">
        <v>1</v>
      </c>
      <c r="C2" s="284" t="s">
        <v>9</v>
      </c>
      <c r="D2" s="280" t="s">
        <v>83</v>
      </c>
      <c r="E2" s="280" t="s">
        <v>82</v>
      </c>
      <c r="F2" s="337" t="s">
        <v>2</v>
      </c>
      <c r="G2" s="337"/>
      <c r="H2" s="337"/>
      <c r="I2" s="337"/>
      <c r="J2" s="337"/>
      <c r="K2" s="337"/>
      <c r="L2" s="338"/>
      <c r="M2" s="283" t="s">
        <v>10</v>
      </c>
      <c r="N2" s="282" t="s">
        <v>6</v>
      </c>
      <c r="O2" s="282" t="s">
        <v>84</v>
      </c>
      <c r="P2" s="339" t="s">
        <v>5</v>
      </c>
      <c r="Q2" s="339"/>
      <c r="R2" s="337"/>
      <c r="S2" s="337"/>
      <c r="T2" s="337"/>
      <c r="U2" s="337"/>
      <c r="V2" s="337"/>
      <c r="W2" s="337"/>
      <c r="X2" s="337"/>
      <c r="Y2" s="337"/>
      <c r="Z2" s="337"/>
      <c r="AA2" s="338"/>
      <c r="AB2" s="41" t="s">
        <v>4</v>
      </c>
    </row>
    <row r="3" spans="1:31" x14ac:dyDescent="0.25">
      <c r="B3" s="95"/>
      <c r="C3" s="7"/>
      <c r="D3" s="6"/>
      <c r="E3" s="6"/>
      <c r="F3" s="3"/>
      <c r="G3" s="3"/>
      <c r="H3" s="277"/>
      <c r="I3" s="3"/>
      <c r="J3" s="3"/>
      <c r="K3" s="3"/>
      <c r="L3" s="8"/>
      <c r="M3" s="7"/>
      <c r="N3" s="20"/>
      <c r="O3" s="23"/>
      <c r="P3" s="15" t="s">
        <v>7</v>
      </c>
      <c r="Q3" s="16" t="s">
        <v>8</v>
      </c>
      <c r="R3" s="15" t="s">
        <v>7</v>
      </c>
      <c r="S3" s="16" t="s">
        <v>8</v>
      </c>
      <c r="T3" s="15" t="s">
        <v>7</v>
      </c>
      <c r="U3" s="16" t="s">
        <v>8</v>
      </c>
      <c r="V3" s="15" t="s">
        <v>7</v>
      </c>
      <c r="W3" s="16" t="s">
        <v>8</v>
      </c>
      <c r="X3" s="15" t="s">
        <v>7</v>
      </c>
      <c r="Y3" s="16" t="s">
        <v>8</v>
      </c>
      <c r="Z3" s="15" t="s">
        <v>7</v>
      </c>
      <c r="AA3" s="16" t="s">
        <v>8</v>
      </c>
      <c r="AB3" s="42"/>
    </row>
    <row r="4" spans="1:31" x14ac:dyDescent="0.25">
      <c r="A4" s="5"/>
      <c r="B4" s="96">
        <v>45668</v>
      </c>
      <c r="C4" s="47">
        <v>0</v>
      </c>
      <c r="D4" s="2">
        <f>C4</f>
        <v>0</v>
      </c>
      <c r="E4" s="24">
        <v>0</v>
      </c>
      <c r="F4" s="2"/>
      <c r="G4" s="2"/>
      <c r="H4" s="1"/>
      <c r="I4" s="1"/>
      <c r="J4" s="1"/>
      <c r="K4" s="1"/>
      <c r="L4" s="10"/>
      <c r="M4" s="9">
        <v>0</v>
      </c>
      <c r="N4" s="21">
        <f>M4</f>
        <v>0</v>
      </c>
      <c r="O4" s="25">
        <f>0</f>
        <v>0</v>
      </c>
      <c r="P4" s="22"/>
      <c r="Q4" s="12"/>
      <c r="R4" s="22"/>
      <c r="S4" s="12"/>
      <c r="T4" s="22"/>
      <c r="U4" s="12"/>
      <c r="V4" s="22"/>
      <c r="W4" s="10"/>
      <c r="X4" s="22"/>
      <c r="Y4" s="10"/>
      <c r="Z4" s="22"/>
      <c r="AA4" s="10"/>
      <c r="AB4" s="43"/>
    </row>
    <row r="5" spans="1:31" x14ac:dyDescent="0.25">
      <c r="A5" s="5"/>
      <c r="B5" s="96">
        <v>45675</v>
      </c>
      <c r="C5" s="47">
        <v>2</v>
      </c>
      <c r="D5" s="2">
        <f>D4+C5</f>
        <v>2</v>
      </c>
      <c r="E5" s="24">
        <f>D5/64</f>
        <v>3.125E-2</v>
      </c>
      <c r="F5" s="2">
        <v>39</v>
      </c>
      <c r="G5" s="2">
        <v>42</v>
      </c>
      <c r="H5" s="1"/>
      <c r="I5" s="2"/>
      <c r="J5" s="2"/>
      <c r="K5" s="2"/>
      <c r="L5" s="12"/>
      <c r="M5" s="9">
        <f>Q5+S5+U5+W5+Y5+AA5</f>
        <v>2</v>
      </c>
      <c r="N5" s="21">
        <f>N4+M5</f>
        <v>2</v>
      </c>
      <c r="O5" s="25">
        <f>N5/64</f>
        <v>3.125E-2</v>
      </c>
      <c r="P5" s="11">
        <v>42</v>
      </c>
      <c r="Q5" s="26">
        <f>'CANT OOCC'!CT71</f>
        <v>1</v>
      </c>
      <c r="R5" s="13">
        <v>39</v>
      </c>
      <c r="S5" s="26">
        <f>'CANT OOCC'!CT54</f>
        <v>1</v>
      </c>
      <c r="T5" s="9"/>
      <c r="U5" s="8"/>
      <c r="V5" s="9"/>
      <c r="W5" s="8"/>
      <c r="X5" s="9"/>
      <c r="Y5" s="8"/>
      <c r="Z5" s="9"/>
      <c r="AA5" s="8"/>
      <c r="AB5" s="43"/>
    </row>
    <row r="6" spans="1:31" x14ac:dyDescent="0.25">
      <c r="A6" s="5"/>
      <c r="B6" s="96">
        <v>45682</v>
      </c>
      <c r="C6" s="47">
        <v>2</v>
      </c>
      <c r="D6" s="2">
        <f t="shared" ref="D6:D23" si="0">D5+C6</f>
        <v>4</v>
      </c>
      <c r="E6" s="24">
        <f t="shared" ref="E6:E23" si="1">D6/64</f>
        <v>6.25E-2</v>
      </c>
      <c r="F6" s="2">
        <v>41</v>
      </c>
      <c r="G6" s="2"/>
      <c r="H6" s="1"/>
      <c r="I6" s="2"/>
      <c r="J6" s="2"/>
      <c r="K6" s="2"/>
      <c r="L6" s="12"/>
      <c r="M6" s="9">
        <f t="shared" ref="M6:M21" si="2">Q6+S6+U6+W6+Y6+AA6</f>
        <v>1</v>
      </c>
      <c r="N6" s="21">
        <f t="shared" ref="N6:N21" si="3">N5+M6</f>
        <v>3</v>
      </c>
      <c r="O6" s="25">
        <f t="shared" ref="O6:O21" si="4">N6/64</f>
        <v>4.6875E-2</v>
      </c>
      <c r="P6" s="13">
        <v>41</v>
      </c>
      <c r="Q6" s="26">
        <f>'CANT OOCC'!CT56</f>
        <v>1</v>
      </c>
      <c r="R6" s="9"/>
      <c r="S6" s="8"/>
      <c r="T6" s="9"/>
      <c r="U6" s="8"/>
      <c r="V6" s="9"/>
      <c r="W6" s="8"/>
      <c r="X6" s="9"/>
      <c r="Y6" s="8"/>
      <c r="Z6" s="9"/>
      <c r="AA6" s="8"/>
      <c r="AB6" s="43"/>
    </row>
    <row r="7" spans="1:31" x14ac:dyDescent="0.25">
      <c r="A7" s="5"/>
      <c r="B7" s="96">
        <v>45689</v>
      </c>
      <c r="C7" s="47">
        <v>1</v>
      </c>
      <c r="D7" s="2">
        <f t="shared" si="0"/>
        <v>5</v>
      </c>
      <c r="E7" s="24">
        <f t="shared" si="1"/>
        <v>7.8125E-2</v>
      </c>
      <c r="F7" s="2">
        <v>51</v>
      </c>
      <c r="G7" s="2"/>
      <c r="H7" s="1"/>
      <c r="I7" s="2"/>
      <c r="J7" s="2"/>
      <c r="K7" s="2"/>
      <c r="L7" s="12"/>
      <c r="M7" s="9">
        <f t="shared" si="2"/>
        <v>1</v>
      </c>
      <c r="N7" s="21">
        <f t="shared" si="3"/>
        <v>4</v>
      </c>
      <c r="O7" s="25">
        <f t="shared" si="4"/>
        <v>6.25E-2</v>
      </c>
      <c r="P7" s="11">
        <v>51</v>
      </c>
      <c r="Q7" s="26">
        <f>'CANT OOCC'!CT78</f>
        <v>1</v>
      </c>
      <c r="R7" s="9"/>
      <c r="S7" s="8"/>
      <c r="T7" s="9"/>
      <c r="U7" s="8"/>
      <c r="V7" s="9"/>
      <c r="W7" s="8"/>
      <c r="X7" s="9"/>
      <c r="Y7" s="8"/>
      <c r="Z7" s="9"/>
      <c r="AA7" s="8"/>
      <c r="AB7" s="43"/>
    </row>
    <row r="8" spans="1:31" x14ac:dyDescent="0.25">
      <c r="A8" s="5"/>
      <c r="B8" s="96">
        <v>45696</v>
      </c>
      <c r="C8" s="47">
        <v>2</v>
      </c>
      <c r="D8" s="2">
        <f t="shared" si="0"/>
        <v>7</v>
      </c>
      <c r="E8" s="24">
        <f t="shared" si="1"/>
        <v>0.109375</v>
      </c>
      <c r="F8" s="2">
        <v>40</v>
      </c>
      <c r="G8" s="2"/>
      <c r="H8" s="1"/>
      <c r="I8" s="2"/>
      <c r="J8" s="2"/>
      <c r="K8" s="2"/>
      <c r="L8" s="12"/>
      <c r="M8" s="9">
        <f t="shared" si="2"/>
        <v>1</v>
      </c>
      <c r="N8" s="21">
        <f t="shared" si="3"/>
        <v>5</v>
      </c>
      <c r="O8" s="25">
        <f t="shared" si="4"/>
        <v>7.8125E-2</v>
      </c>
      <c r="P8" s="13">
        <v>40</v>
      </c>
      <c r="Q8" s="26">
        <f>'CANT OOCC'!CT55</f>
        <v>1</v>
      </c>
      <c r="R8" s="9"/>
      <c r="S8" s="8"/>
      <c r="T8" s="9"/>
      <c r="U8" s="8"/>
      <c r="V8" s="9"/>
      <c r="W8" s="8"/>
      <c r="X8" s="9"/>
      <c r="Y8" s="8"/>
      <c r="Z8" s="9"/>
      <c r="AA8" s="8"/>
      <c r="AB8" s="43"/>
      <c r="AD8" s="27"/>
      <c r="AE8" s="1" t="s">
        <v>86</v>
      </c>
    </row>
    <row r="9" spans="1:31" x14ac:dyDescent="0.25">
      <c r="A9" s="5"/>
      <c r="B9" s="96">
        <v>45703</v>
      </c>
      <c r="C9" s="47">
        <v>3</v>
      </c>
      <c r="D9" s="2">
        <f t="shared" si="0"/>
        <v>10</v>
      </c>
      <c r="E9" s="24">
        <f t="shared" si="1"/>
        <v>0.15625</v>
      </c>
      <c r="F9" s="2">
        <v>47</v>
      </c>
      <c r="G9" s="2">
        <v>18</v>
      </c>
      <c r="H9" s="1">
        <v>45</v>
      </c>
      <c r="I9" s="2"/>
      <c r="J9" s="2"/>
      <c r="K9" s="2"/>
      <c r="L9" s="12"/>
      <c r="M9" s="9">
        <f t="shared" si="2"/>
        <v>3</v>
      </c>
      <c r="N9" s="21">
        <f t="shared" si="3"/>
        <v>8</v>
      </c>
      <c r="O9" s="25">
        <f t="shared" si="4"/>
        <v>0.125</v>
      </c>
      <c r="P9" s="11">
        <v>47</v>
      </c>
      <c r="Q9" s="26">
        <f>'CANT OOCC'!CT74</f>
        <v>1</v>
      </c>
      <c r="R9" s="11">
        <v>18</v>
      </c>
      <c r="S9" s="26">
        <f>'CANT OOCC'!CT67</f>
        <v>1</v>
      </c>
      <c r="T9" s="13">
        <v>45</v>
      </c>
      <c r="U9" s="26">
        <f>'CANT OOCC'!CT57</f>
        <v>1</v>
      </c>
      <c r="V9" s="9"/>
      <c r="W9" s="8"/>
      <c r="X9" s="9"/>
      <c r="Y9" s="8"/>
      <c r="Z9" s="9"/>
      <c r="AA9" s="8"/>
      <c r="AB9" s="43"/>
      <c r="AD9" s="28"/>
      <c r="AE9" s="1" t="s">
        <v>87</v>
      </c>
    </row>
    <row r="10" spans="1:31" x14ac:dyDescent="0.25">
      <c r="A10" s="5"/>
      <c r="B10" s="96">
        <v>45710</v>
      </c>
      <c r="C10" s="47">
        <v>3</v>
      </c>
      <c r="D10" s="2">
        <f t="shared" si="0"/>
        <v>13</v>
      </c>
      <c r="E10" s="24">
        <f t="shared" si="1"/>
        <v>0.203125</v>
      </c>
      <c r="F10" s="2">
        <v>14</v>
      </c>
      <c r="G10" s="2">
        <v>58</v>
      </c>
      <c r="H10" s="1">
        <v>10</v>
      </c>
      <c r="I10" s="2"/>
      <c r="J10" s="2"/>
      <c r="K10" s="2"/>
      <c r="L10" s="12"/>
      <c r="M10" s="9">
        <f t="shared" si="2"/>
        <v>4</v>
      </c>
      <c r="N10" s="21">
        <f t="shared" si="3"/>
        <v>12</v>
      </c>
      <c r="O10" s="25">
        <f t="shared" si="4"/>
        <v>0.1875</v>
      </c>
      <c r="P10" s="11">
        <v>14</v>
      </c>
      <c r="Q10" s="26">
        <f>'CANT OOCC'!CT65</f>
        <v>1</v>
      </c>
      <c r="R10" s="11">
        <v>58</v>
      </c>
      <c r="S10" s="26">
        <f>'CANT OOCC'!CT83</f>
        <v>1</v>
      </c>
      <c r="T10" s="13">
        <v>10</v>
      </c>
      <c r="U10" s="26">
        <f>'CANT OOCC'!CT32</f>
        <v>1</v>
      </c>
      <c r="V10" s="11">
        <v>48</v>
      </c>
      <c r="W10" s="26">
        <f>'CANT OOCC'!CT75</f>
        <v>1</v>
      </c>
      <c r="X10" s="9"/>
      <c r="Y10" s="8"/>
      <c r="Z10" s="9"/>
      <c r="AA10" s="8"/>
      <c r="AB10" s="43"/>
      <c r="AD10" s="29"/>
      <c r="AE10" s="1"/>
    </row>
    <row r="11" spans="1:31" x14ac:dyDescent="0.25">
      <c r="A11" s="5"/>
      <c r="B11" s="96">
        <v>45717</v>
      </c>
      <c r="C11" s="47">
        <v>3</v>
      </c>
      <c r="D11" s="2">
        <f t="shared" si="0"/>
        <v>16</v>
      </c>
      <c r="E11" s="24">
        <f t="shared" si="1"/>
        <v>0.25</v>
      </c>
      <c r="F11" s="2">
        <v>1</v>
      </c>
      <c r="G11" s="2">
        <v>7</v>
      </c>
      <c r="H11" s="1"/>
      <c r="I11" s="2"/>
      <c r="J11" s="2"/>
      <c r="K11" s="2"/>
      <c r="L11" s="12"/>
      <c r="M11" s="9">
        <f t="shared" si="2"/>
        <v>3</v>
      </c>
      <c r="N11" s="21">
        <f t="shared" si="3"/>
        <v>15</v>
      </c>
      <c r="O11" s="25">
        <f>N11/64</f>
        <v>0.234375</v>
      </c>
      <c r="P11" s="13">
        <v>1</v>
      </c>
      <c r="Q11" s="26">
        <f>'CANT OOCC'!CT12</f>
        <v>1</v>
      </c>
      <c r="R11" s="11">
        <v>43</v>
      </c>
      <c r="S11" s="26">
        <f>'CANT OOCC'!CT72</f>
        <v>1</v>
      </c>
      <c r="T11" s="11">
        <v>44</v>
      </c>
      <c r="U11" s="26">
        <f>'CANT OOCC'!CT73</f>
        <v>1</v>
      </c>
      <c r="V11" s="9"/>
      <c r="W11" s="8"/>
      <c r="X11" s="9"/>
      <c r="Y11" s="8"/>
      <c r="Z11" s="9"/>
      <c r="AA11" s="8"/>
      <c r="AB11" s="43"/>
    </row>
    <row r="12" spans="1:31" x14ac:dyDescent="0.25">
      <c r="A12" s="5"/>
      <c r="B12" s="96">
        <v>45724</v>
      </c>
      <c r="C12" s="47">
        <v>3</v>
      </c>
      <c r="D12" s="2">
        <f t="shared" si="0"/>
        <v>19</v>
      </c>
      <c r="E12" s="24">
        <f t="shared" si="1"/>
        <v>0.296875</v>
      </c>
      <c r="F12" s="2">
        <v>43</v>
      </c>
      <c r="G12" s="2">
        <v>4</v>
      </c>
      <c r="H12" s="1">
        <v>9</v>
      </c>
      <c r="I12" s="2">
        <v>46</v>
      </c>
      <c r="J12" s="2">
        <v>44</v>
      </c>
      <c r="K12" s="2"/>
      <c r="L12" s="12"/>
      <c r="M12" s="9">
        <f>Q12+S12+U12+W12+Y12+AA12</f>
        <v>4</v>
      </c>
      <c r="N12" s="21">
        <f t="shared" si="3"/>
        <v>19</v>
      </c>
      <c r="O12" s="25">
        <f t="shared" si="4"/>
        <v>0.296875</v>
      </c>
      <c r="P12" s="13">
        <v>9</v>
      </c>
      <c r="Q12" s="26">
        <f>'CANT OOCC'!CT67</f>
        <v>1</v>
      </c>
      <c r="R12" s="13">
        <v>4</v>
      </c>
      <c r="S12" s="26">
        <f>'CANT OOCC'!CT26</f>
        <v>1</v>
      </c>
      <c r="T12" s="13">
        <v>16</v>
      </c>
      <c r="U12" s="26">
        <f>'CANT OOCC'!CT37</f>
        <v>1</v>
      </c>
      <c r="V12" s="11">
        <v>17</v>
      </c>
      <c r="W12" s="26">
        <f>'CANT OOCC'!CT66</f>
        <v>1</v>
      </c>
      <c r="X12" s="9"/>
      <c r="Y12" s="8"/>
      <c r="Z12" s="9"/>
      <c r="AA12" s="8"/>
      <c r="AB12" s="43"/>
    </row>
    <row r="13" spans="1:31" x14ac:dyDescent="0.25">
      <c r="A13" s="5"/>
      <c r="B13" s="96">
        <v>45731</v>
      </c>
      <c r="C13" s="47">
        <v>4</v>
      </c>
      <c r="D13" s="2">
        <f t="shared" si="0"/>
        <v>23</v>
      </c>
      <c r="E13" s="24">
        <f t="shared" si="1"/>
        <v>0.359375</v>
      </c>
      <c r="F13" s="2">
        <v>12</v>
      </c>
      <c r="G13" s="2">
        <v>32</v>
      </c>
      <c r="H13" s="1">
        <v>13</v>
      </c>
      <c r="I13" s="2">
        <v>29</v>
      </c>
      <c r="J13" s="2">
        <v>59</v>
      </c>
      <c r="K13" s="2">
        <v>17</v>
      </c>
      <c r="L13" s="12"/>
      <c r="M13" s="9">
        <f t="shared" si="2"/>
        <v>5</v>
      </c>
      <c r="N13" s="21">
        <f t="shared" si="3"/>
        <v>24</v>
      </c>
      <c r="O13" s="25">
        <f t="shared" si="4"/>
        <v>0.375</v>
      </c>
      <c r="P13" s="13">
        <v>5</v>
      </c>
      <c r="Q13" s="26">
        <f>'CANT OOCC'!CT27</f>
        <v>1</v>
      </c>
      <c r="R13" s="13">
        <v>6</v>
      </c>
      <c r="S13" s="26">
        <f>'CANT OOCC'!CT28</f>
        <v>1</v>
      </c>
      <c r="T13" s="13">
        <v>7</v>
      </c>
      <c r="U13" s="26">
        <f>'CANT OOCC'!CT29</f>
        <v>1</v>
      </c>
      <c r="V13" s="30">
        <v>8</v>
      </c>
      <c r="W13" s="26">
        <f>'CANT OOCC'!CT30</f>
        <v>1</v>
      </c>
      <c r="X13" s="13">
        <v>27</v>
      </c>
      <c r="Y13" s="26">
        <f>'CANT OOCC'!CT44</f>
        <v>1</v>
      </c>
      <c r="Z13" s="9"/>
      <c r="AA13" s="8"/>
      <c r="AB13" s="43"/>
    </row>
    <row r="14" spans="1:31" x14ac:dyDescent="0.25">
      <c r="A14" s="5"/>
      <c r="B14" s="96">
        <v>45738</v>
      </c>
      <c r="C14" s="47">
        <v>0</v>
      </c>
      <c r="D14" s="2">
        <f t="shared" si="0"/>
        <v>23</v>
      </c>
      <c r="E14" s="24">
        <f t="shared" si="1"/>
        <v>0.359375</v>
      </c>
      <c r="F14" s="2">
        <v>26</v>
      </c>
      <c r="G14" s="2">
        <v>27</v>
      </c>
      <c r="H14" s="1">
        <v>52</v>
      </c>
      <c r="I14" s="2">
        <v>55</v>
      </c>
      <c r="J14" s="2">
        <v>54</v>
      </c>
      <c r="K14" s="2">
        <v>19</v>
      </c>
      <c r="L14" s="12">
        <v>24</v>
      </c>
      <c r="M14" s="9">
        <f t="shared" si="2"/>
        <v>4</v>
      </c>
      <c r="N14" s="21">
        <f t="shared" si="3"/>
        <v>28</v>
      </c>
      <c r="O14" s="25">
        <f t="shared" si="4"/>
        <v>0.4375</v>
      </c>
      <c r="P14" s="13">
        <v>13</v>
      </c>
      <c r="Q14" s="26">
        <f>'CANT OOCC'!CT35</f>
        <v>1</v>
      </c>
      <c r="R14" s="13">
        <v>26</v>
      </c>
      <c r="S14" s="26">
        <f>'CANT OOCC'!CT43</f>
        <v>1</v>
      </c>
      <c r="T14" s="13">
        <v>20</v>
      </c>
      <c r="U14" s="26">
        <f>'CANT OOCC'!CT38</f>
        <v>1</v>
      </c>
      <c r="V14" s="13">
        <v>21</v>
      </c>
      <c r="W14" s="26">
        <f>'CANT OOCC'!CT39</f>
        <v>1</v>
      </c>
      <c r="X14" s="9"/>
      <c r="Y14" s="8"/>
      <c r="Z14" s="9"/>
      <c r="AA14" s="8"/>
      <c r="AB14" s="43"/>
    </row>
    <row r="15" spans="1:31" x14ac:dyDescent="0.25">
      <c r="A15" s="5"/>
      <c r="B15" s="96">
        <v>45745</v>
      </c>
      <c r="C15" s="47">
        <v>3</v>
      </c>
      <c r="D15" s="2">
        <f t="shared" si="0"/>
        <v>26</v>
      </c>
      <c r="E15" s="24">
        <f t="shared" si="1"/>
        <v>0.40625</v>
      </c>
      <c r="F15" s="2">
        <v>49</v>
      </c>
      <c r="G15" s="2">
        <v>59</v>
      </c>
      <c r="H15" s="1">
        <v>60</v>
      </c>
      <c r="I15" s="2">
        <v>61</v>
      </c>
      <c r="J15" s="2">
        <v>63</v>
      </c>
      <c r="K15" s="2">
        <v>64</v>
      </c>
      <c r="L15" s="12"/>
      <c r="M15" s="9">
        <f t="shared" si="2"/>
        <v>5</v>
      </c>
      <c r="N15" s="21">
        <f t="shared" si="3"/>
        <v>33</v>
      </c>
      <c r="O15" s="25">
        <f t="shared" si="4"/>
        <v>0.515625</v>
      </c>
      <c r="P15" s="13">
        <v>28</v>
      </c>
      <c r="Q15" s="26">
        <f>'CANT OOCC'!CT45</f>
        <v>1</v>
      </c>
      <c r="R15" s="11">
        <v>2</v>
      </c>
      <c r="S15" s="26">
        <f>'CANT OOCC'!CT16</f>
        <v>1</v>
      </c>
      <c r="T15" s="13">
        <v>22</v>
      </c>
      <c r="U15" s="26">
        <f>'CANT OOCC'!CT40</f>
        <v>1</v>
      </c>
      <c r="V15" s="13">
        <v>35</v>
      </c>
      <c r="W15" s="26">
        <f>'CANT OOCC'!CT50</f>
        <v>1</v>
      </c>
      <c r="X15" s="13">
        <v>24</v>
      </c>
      <c r="Y15" s="26">
        <f>'CANT OOCC'!CT42</f>
        <v>1</v>
      </c>
      <c r="Z15" s="9"/>
      <c r="AA15" s="8"/>
      <c r="AB15" s="43"/>
    </row>
    <row r="16" spans="1:31" x14ac:dyDescent="0.25">
      <c r="A16" s="5"/>
      <c r="B16" s="96">
        <v>45752</v>
      </c>
      <c r="C16" s="47">
        <v>2</v>
      </c>
      <c r="D16" s="2">
        <f t="shared" si="0"/>
        <v>28</v>
      </c>
      <c r="E16" s="24">
        <f t="shared" si="1"/>
        <v>0.4375</v>
      </c>
      <c r="F16" s="2">
        <v>65</v>
      </c>
      <c r="G16" s="2">
        <v>11</v>
      </c>
      <c r="H16" s="1">
        <v>16</v>
      </c>
      <c r="I16" s="2">
        <v>53</v>
      </c>
      <c r="J16" s="2"/>
      <c r="K16" s="2"/>
      <c r="L16" s="12"/>
      <c r="M16" s="9">
        <f t="shared" si="2"/>
        <v>3</v>
      </c>
      <c r="N16" s="21">
        <f t="shared" si="3"/>
        <v>36</v>
      </c>
      <c r="O16" s="25">
        <f t="shared" si="4"/>
        <v>0.5625</v>
      </c>
      <c r="P16" s="13">
        <v>36</v>
      </c>
      <c r="Q16" s="26">
        <f>'CANT OOCC'!CT51</f>
        <v>1</v>
      </c>
      <c r="R16" s="13">
        <v>37</v>
      </c>
      <c r="S16" s="26">
        <f>'CANT OOCC'!CT52</f>
        <v>1</v>
      </c>
      <c r="T16" s="13">
        <v>38</v>
      </c>
      <c r="U16" s="26">
        <f>'CANT OOCC'!CT53</f>
        <v>1</v>
      </c>
      <c r="V16" s="98"/>
      <c r="W16" s="99"/>
      <c r="X16" s="98"/>
      <c r="Y16" s="99"/>
      <c r="Z16" s="9"/>
      <c r="AA16" s="8"/>
      <c r="AB16" s="43"/>
    </row>
    <row r="17" spans="1:28" x14ac:dyDescent="0.25">
      <c r="A17" s="5"/>
      <c r="B17" s="96">
        <v>45759</v>
      </c>
      <c r="C17" s="47">
        <v>2</v>
      </c>
      <c r="D17" s="2">
        <f t="shared" si="0"/>
        <v>30</v>
      </c>
      <c r="E17" s="24">
        <f t="shared" si="1"/>
        <v>0.46875</v>
      </c>
      <c r="F17" s="2">
        <v>15</v>
      </c>
      <c r="G17" s="2">
        <v>21</v>
      </c>
      <c r="H17" s="1">
        <v>20</v>
      </c>
      <c r="I17" s="2">
        <v>48</v>
      </c>
      <c r="J17" s="2"/>
      <c r="K17" s="2"/>
      <c r="L17" s="12"/>
      <c r="M17" s="9">
        <f t="shared" si="2"/>
        <v>2</v>
      </c>
      <c r="N17" s="21">
        <f t="shared" si="3"/>
        <v>38</v>
      </c>
      <c r="O17" s="25">
        <f t="shared" si="4"/>
        <v>0.59375</v>
      </c>
      <c r="P17" s="13">
        <v>57</v>
      </c>
      <c r="Q17" s="26">
        <f>'CANT OOCC'!CT60</f>
        <v>1</v>
      </c>
      <c r="R17" s="13">
        <v>62</v>
      </c>
      <c r="S17" s="26">
        <f>'CANT OOCC'!CT61</f>
        <v>1</v>
      </c>
      <c r="T17" s="9"/>
      <c r="U17" s="8"/>
      <c r="V17" s="9"/>
      <c r="W17" s="8"/>
      <c r="X17" s="9"/>
      <c r="Y17" s="8"/>
      <c r="Z17" s="9"/>
      <c r="AA17" s="8"/>
      <c r="AB17" s="43"/>
    </row>
    <row r="18" spans="1:28" x14ac:dyDescent="0.25">
      <c r="A18" s="5"/>
      <c r="B18" s="96">
        <v>45766</v>
      </c>
      <c r="C18" s="47">
        <v>1</v>
      </c>
      <c r="D18" s="2">
        <f t="shared" si="0"/>
        <v>31</v>
      </c>
      <c r="E18" s="24">
        <f t="shared" si="1"/>
        <v>0.484375</v>
      </c>
      <c r="F18" s="2">
        <v>2</v>
      </c>
      <c r="G18" s="2">
        <v>3</v>
      </c>
      <c r="H18" s="1">
        <v>28</v>
      </c>
      <c r="I18" s="2">
        <v>56</v>
      </c>
      <c r="J18" s="2"/>
      <c r="K18" s="2"/>
      <c r="L18" s="12"/>
      <c r="M18" s="9">
        <f t="shared" si="2"/>
        <v>1</v>
      </c>
      <c r="N18" s="21">
        <f t="shared" si="3"/>
        <v>39</v>
      </c>
      <c r="O18" s="25">
        <f t="shared" si="4"/>
        <v>0.609375</v>
      </c>
      <c r="P18" s="13">
        <v>30</v>
      </c>
      <c r="Q18" s="26">
        <v>1</v>
      </c>
      <c r="R18" s="9"/>
      <c r="S18" s="8"/>
      <c r="T18" s="9"/>
      <c r="U18" s="8"/>
      <c r="V18" s="9"/>
      <c r="W18" s="8"/>
      <c r="X18" s="9"/>
      <c r="Y18" s="8"/>
      <c r="Z18" s="9"/>
      <c r="AA18" s="8"/>
      <c r="AB18" s="43"/>
    </row>
    <row r="19" spans="1:28" x14ac:dyDescent="0.25">
      <c r="A19" s="5"/>
      <c r="B19" s="96">
        <v>45773</v>
      </c>
      <c r="C19" s="47">
        <v>2</v>
      </c>
      <c r="D19" s="2">
        <f t="shared" si="0"/>
        <v>33</v>
      </c>
      <c r="E19" s="24">
        <f t="shared" si="1"/>
        <v>0.515625</v>
      </c>
      <c r="F19" s="2">
        <v>5</v>
      </c>
      <c r="G19" s="2">
        <v>6</v>
      </c>
      <c r="H19" s="1">
        <v>33</v>
      </c>
      <c r="I19" s="2"/>
      <c r="J19" s="2"/>
      <c r="K19" s="2"/>
      <c r="L19" s="12"/>
      <c r="M19" s="9">
        <f t="shared" si="2"/>
        <v>1</v>
      </c>
      <c r="N19" s="21">
        <f t="shared" si="3"/>
        <v>40</v>
      </c>
      <c r="O19" s="25">
        <f t="shared" si="4"/>
        <v>0.625</v>
      </c>
      <c r="P19" s="13">
        <v>46</v>
      </c>
      <c r="Q19" s="26">
        <v>1</v>
      </c>
      <c r="R19" s="9"/>
      <c r="S19" s="8"/>
      <c r="T19" s="9"/>
      <c r="U19" s="8"/>
      <c r="V19" s="9"/>
      <c r="W19" s="8"/>
      <c r="X19" s="9"/>
      <c r="Y19" s="8"/>
      <c r="Z19" s="9"/>
      <c r="AA19" s="8"/>
      <c r="AB19" s="43"/>
    </row>
    <row r="20" spans="1:28" x14ac:dyDescent="0.25">
      <c r="A20" s="5"/>
      <c r="B20" s="96">
        <v>45780</v>
      </c>
      <c r="C20" s="47">
        <v>3</v>
      </c>
      <c r="D20" s="2">
        <f t="shared" si="0"/>
        <v>36</v>
      </c>
      <c r="E20" s="24">
        <f t="shared" si="1"/>
        <v>0.5625</v>
      </c>
      <c r="F20" s="2">
        <v>8</v>
      </c>
      <c r="G20" s="2">
        <v>23</v>
      </c>
      <c r="H20" s="1">
        <v>22</v>
      </c>
      <c r="I20" s="2"/>
      <c r="J20" s="2"/>
      <c r="K20" s="2"/>
      <c r="L20" s="12"/>
      <c r="M20" s="9">
        <f t="shared" si="2"/>
        <v>2</v>
      </c>
      <c r="N20" s="21">
        <f t="shared" si="3"/>
        <v>42</v>
      </c>
      <c r="O20" s="25">
        <f t="shared" si="4"/>
        <v>0.65625</v>
      </c>
      <c r="P20" s="11">
        <v>11</v>
      </c>
      <c r="Q20" s="26">
        <f>'CANT OOCC'!CT33</f>
        <v>1</v>
      </c>
      <c r="R20" s="13">
        <v>32</v>
      </c>
      <c r="S20" s="26">
        <f>'CANT OOCC'!CT49</f>
        <v>1</v>
      </c>
      <c r="T20" s="9"/>
      <c r="U20" s="8"/>
      <c r="V20" s="9"/>
      <c r="W20" s="8"/>
      <c r="X20" s="9"/>
      <c r="Y20" s="8"/>
      <c r="Z20" s="9"/>
      <c r="AA20" s="8"/>
      <c r="AB20" s="43"/>
    </row>
    <row r="21" spans="1:28" x14ac:dyDescent="0.25">
      <c r="A21" s="5"/>
      <c r="B21" s="96">
        <v>45787</v>
      </c>
      <c r="C21" s="47">
        <v>1</v>
      </c>
      <c r="D21" s="2">
        <f t="shared" si="0"/>
        <v>37</v>
      </c>
      <c r="E21" s="24">
        <f t="shared" si="1"/>
        <v>0.578125</v>
      </c>
      <c r="F21" s="2">
        <v>30</v>
      </c>
      <c r="G21" s="2">
        <v>31</v>
      </c>
      <c r="H21" s="1">
        <v>34</v>
      </c>
      <c r="I21" s="2"/>
      <c r="J21" s="2"/>
      <c r="K21" s="2"/>
      <c r="L21" s="12"/>
      <c r="M21" s="9">
        <f t="shared" si="2"/>
        <v>2</v>
      </c>
      <c r="N21" s="21">
        <f t="shared" si="3"/>
        <v>44</v>
      </c>
      <c r="O21" s="25">
        <f t="shared" si="4"/>
        <v>0.6875</v>
      </c>
      <c r="P21" s="13">
        <v>63</v>
      </c>
      <c r="Q21" s="26">
        <f>'CANT OOCC'!CT62</f>
        <v>1</v>
      </c>
      <c r="R21" s="11">
        <v>19</v>
      </c>
      <c r="S21" s="26">
        <f>'CANT OOCC'!CT68</f>
        <v>1</v>
      </c>
      <c r="T21" s="9"/>
      <c r="U21" s="8"/>
      <c r="V21" s="9"/>
      <c r="W21" s="8"/>
      <c r="X21" s="9"/>
      <c r="Y21" s="8"/>
      <c r="Z21" s="9"/>
      <c r="AA21" s="8"/>
      <c r="AB21" s="43"/>
    </row>
    <row r="22" spans="1:28" x14ac:dyDescent="0.25">
      <c r="A22" s="5"/>
      <c r="B22" s="96">
        <v>45794</v>
      </c>
      <c r="C22" s="47">
        <v>3</v>
      </c>
      <c r="D22" s="2">
        <f t="shared" si="0"/>
        <v>40</v>
      </c>
      <c r="E22" s="24">
        <f t="shared" si="1"/>
        <v>0.625</v>
      </c>
      <c r="F22" s="2">
        <v>35</v>
      </c>
      <c r="G22" s="2">
        <v>36</v>
      </c>
      <c r="H22" s="1">
        <v>37</v>
      </c>
      <c r="I22" s="2"/>
      <c r="J22" s="2"/>
      <c r="K22" s="2"/>
      <c r="L22" s="12"/>
      <c r="M22" s="9">
        <f t="shared" ref="M22:M32" si="5">Q22+S22+U22+W22+Y22+AA22</f>
        <v>2</v>
      </c>
      <c r="N22" s="21">
        <f t="shared" ref="N22:N32" si="6">N21+M22</f>
        <v>46</v>
      </c>
      <c r="O22" s="25">
        <f t="shared" ref="O22:O32" si="7">N22/64</f>
        <v>0.71875</v>
      </c>
      <c r="P22" s="11">
        <v>49</v>
      </c>
      <c r="Q22" s="26">
        <f>'CANT OOCC'!CT76</f>
        <v>1</v>
      </c>
      <c r="R22" s="13">
        <v>3</v>
      </c>
      <c r="S22" s="26">
        <f>'CANT OOCC'!CT25</f>
        <v>1</v>
      </c>
      <c r="T22" s="9"/>
      <c r="U22" s="8"/>
      <c r="V22" s="9"/>
      <c r="W22" s="8"/>
      <c r="X22" s="9"/>
      <c r="Y22" s="8"/>
      <c r="Z22" s="9"/>
      <c r="AA22" s="8"/>
      <c r="AB22" s="43"/>
    </row>
    <row r="23" spans="1:28" x14ac:dyDescent="0.25">
      <c r="A23" s="5"/>
      <c r="B23" s="96">
        <v>45801</v>
      </c>
      <c r="C23" s="48">
        <v>3</v>
      </c>
      <c r="D23" s="35">
        <f t="shared" si="0"/>
        <v>43</v>
      </c>
      <c r="E23" s="36">
        <f t="shared" si="1"/>
        <v>0.671875</v>
      </c>
      <c r="F23" s="35">
        <v>38</v>
      </c>
      <c r="G23" s="35">
        <v>57</v>
      </c>
      <c r="H23" s="278">
        <v>62</v>
      </c>
      <c r="I23" s="35"/>
      <c r="J23" s="35"/>
      <c r="K23" s="35"/>
      <c r="L23" s="37"/>
      <c r="M23" s="9">
        <f t="shared" si="5"/>
        <v>3</v>
      </c>
      <c r="N23" s="21">
        <f t="shared" si="6"/>
        <v>49</v>
      </c>
      <c r="O23" s="25">
        <f t="shared" si="7"/>
        <v>0.765625</v>
      </c>
      <c r="P23" s="38">
        <v>12</v>
      </c>
      <c r="Q23" s="46">
        <f>'CANT OOCC'!CT34</f>
        <v>1</v>
      </c>
      <c r="R23" s="38">
        <v>15</v>
      </c>
      <c r="S23" s="46">
        <f>'CANT OOCC'!CT36</f>
        <v>1</v>
      </c>
      <c r="T23" s="39">
        <v>65</v>
      </c>
      <c r="U23" s="46">
        <f>'CANT OOCC'!CT64</f>
        <v>1</v>
      </c>
      <c r="V23" s="40"/>
      <c r="W23" s="32"/>
      <c r="X23" s="33"/>
      <c r="Y23" s="34"/>
      <c r="Z23" s="33"/>
      <c r="AA23" s="34"/>
      <c r="AB23" s="44"/>
    </row>
    <row r="24" spans="1:28" x14ac:dyDescent="0.25">
      <c r="B24" s="96">
        <v>45808</v>
      </c>
      <c r="C24" s="48">
        <v>5</v>
      </c>
      <c r="D24" s="2">
        <f t="shared" ref="D24:D32" si="8">D23+C24</f>
        <v>48</v>
      </c>
      <c r="E24" s="24">
        <f t="shared" ref="E24:E32" si="9">D24/64</f>
        <v>0.75</v>
      </c>
      <c r="F24" s="2">
        <v>23</v>
      </c>
      <c r="G24" s="2">
        <v>33</v>
      </c>
      <c r="H24" s="1">
        <v>64</v>
      </c>
      <c r="I24" s="1"/>
      <c r="J24" s="1"/>
      <c r="K24" s="1"/>
      <c r="L24" s="10"/>
      <c r="M24" s="9">
        <f t="shared" si="5"/>
        <v>3</v>
      </c>
      <c r="N24" s="21">
        <f t="shared" si="6"/>
        <v>52</v>
      </c>
      <c r="O24" s="25">
        <f t="shared" si="7"/>
        <v>0.8125</v>
      </c>
      <c r="P24" s="13">
        <v>23</v>
      </c>
      <c r="Q24" s="45">
        <f>'CANT OOCC'!CT41</f>
        <v>1</v>
      </c>
      <c r="R24" s="11">
        <v>33</v>
      </c>
      <c r="S24" s="45">
        <f>'CANT OOCC'!CT69</f>
        <v>1</v>
      </c>
      <c r="T24" s="39">
        <v>64</v>
      </c>
      <c r="U24" s="45">
        <f>'CANT OOCC'!CT63</f>
        <v>1</v>
      </c>
      <c r="V24" s="22"/>
      <c r="W24" s="10"/>
      <c r="X24" s="22"/>
      <c r="Y24" s="10"/>
      <c r="Z24" s="22" t="s">
        <v>109</v>
      </c>
      <c r="AA24" s="10"/>
      <c r="AB24" s="43"/>
    </row>
    <row r="25" spans="1:28" x14ac:dyDescent="0.25">
      <c r="B25" s="96">
        <v>45815</v>
      </c>
      <c r="C25" s="48">
        <v>0</v>
      </c>
      <c r="D25" s="2">
        <f t="shared" si="8"/>
        <v>48</v>
      </c>
      <c r="E25" s="24">
        <f t="shared" si="9"/>
        <v>0.75</v>
      </c>
      <c r="F25" s="2">
        <v>31</v>
      </c>
      <c r="G25" s="2">
        <v>29</v>
      </c>
      <c r="H25" s="1"/>
      <c r="I25" s="1"/>
      <c r="J25" s="1"/>
      <c r="K25" s="1"/>
      <c r="L25" s="10"/>
      <c r="M25" s="9">
        <f t="shared" si="5"/>
        <v>2</v>
      </c>
      <c r="N25" s="21">
        <f t="shared" si="6"/>
        <v>54</v>
      </c>
      <c r="O25" s="25">
        <f t="shared" si="7"/>
        <v>0.84375</v>
      </c>
      <c r="P25" s="13">
        <v>31</v>
      </c>
      <c r="Q25" s="45">
        <f>'CANT OOCC'!CT48</f>
        <v>1</v>
      </c>
      <c r="R25" s="28">
        <v>29</v>
      </c>
      <c r="S25" s="45">
        <f>'CANT OOCC'!CT46</f>
        <v>1</v>
      </c>
      <c r="T25" s="22"/>
      <c r="U25" s="12"/>
      <c r="V25" s="22"/>
      <c r="W25" s="10"/>
      <c r="X25" s="22"/>
      <c r="Y25" s="10"/>
      <c r="Z25" s="22"/>
      <c r="AA25" s="10"/>
      <c r="AB25" s="43"/>
    </row>
    <row r="26" spans="1:28" x14ac:dyDescent="0.25">
      <c r="B26" s="96">
        <v>45822</v>
      </c>
      <c r="C26" s="48">
        <v>4</v>
      </c>
      <c r="D26" s="2">
        <f t="shared" si="8"/>
        <v>52</v>
      </c>
      <c r="E26" s="24">
        <f t="shared" si="9"/>
        <v>0.8125</v>
      </c>
      <c r="F26" s="2">
        <v>52</v>
      </c>
      <c r="G26" s="2">
        <v>53</v>
      </c>
      <c r="H26" s="1"/>
      <c r="I26" s="1"/>
      <c r="J26" s="1"/>
      <c r="K26" s="1"/>
      <c r="L26" s="10"/>
      <c r="M26" s="9">
        <f>Q26+S26+U26+W26+Y26+AA26</f>
        <v>2</v>
      </c>
      <c r="N26" s="21">
        <f>N25+M26</f>
        <v>56</v>
      </c>
      <c r="O26" s="25">
        <f>N26/64</f>
        <v>0.875</v>
      </c>
      <c r="P26" s="11">
        <v>52</v>
      </c>
      <c r="Q26" s="45">
        <f>'CANT OOCC'!CT79</f>
        <v>1</v>
      </c>
      <c r="R26" s="28">
        <v>53</v>
      </c>
      <c r="S26" s="45">
        <f>'CANT OOCC'!CT80</f>
        <v>1</v>
      </c>
      <c r="T26" s="22"/>
      <c r="U26" s="12"/>
      <c r="V26" s="22"/>
      <c r="W26" s="10"/>
      <c r="X26" s="22"/>
      <c r="Y26" s="10"/>
      <c r="Z26" s="22"/>
      <c r="AA26" s="10"/>
      <c r="AB26" s="43"/>
    </row>
    <row r="27" spans="1:28" x14ac:dyDescent="0.25">
      <c r="B27" s="96">
        <v>45829</v>
      </c>
      <c r="C27" s="48">
        <v>2</v>
      </c>
      <c r="D27" s="2">
        <f t="shared" si="8"/>
        <v>54</v>
      </c>
      <c r="E27" s="24">
        <f t="shared" si="9"/>
        <v>0.84375</v>
      </c>
      <c r="F27" s="2">
        <v>34</v>
      </c>
      <c r="G27" s="2">
        <v>55</v>
      </c>
      <c r="H27" s="1">
        <v>54</v>
      </c>
      <c r="I27" s="1"/>
      <c r="J27" s="1"/>
      <c r="K27" s="1"/>
      <c r="L27" s="10"/>
      <c r="M27" s="9">
        <f t="shared" si="5"/>
        <v>3</v>
      </c>
      <c r="N27" s="21">
        <f t="shared" si="6"/>
        <v>59</v>
      </c>
      <c r="O27" s="25">
        <f t="shared" si="7"/>
        <v>0.921875</v>
      </c>
      <c r="P27" s="11">
        <v>34</v>
      </c>
      <c r="Q27" s="45">
        <v>1</v>
      </c>
      <c r="R27" s="28">
        <v>55</v>
      </c>
      <c r="S27" s="45">
        <f>'CANT OOCC'!CT82</f>
        <v>1</v>
      </c>
      <c r="T27" s="28">
        <v>54</v>
      </c>
      <c r="U27" s="45">
        <f>'CANT OOCC'!CT81</f>
        <v>1</v>
      </c>
      <c r="V27" s="22"/>
      <c r="W27" s="10"/>
      <c r="X27" s="22"/>
      <c r="Y27" s="10"/>
      <c r="Z27" s="22"/>
      <c r="AA27" s="10"/>
      <c r="AB27" s="43"/>
    </row>
    <row r="28" spans="1:28" x14ac:dyDescent="0.25">
      <c r="B28" s="96">
        <v>45836</v>
      </c>
      <c r="C28" s="48">
        <v>5</v>
      </c>
      <c r="D28" s="2">
        <f t="shared" si="8"/>
        <v>59</v>
      </c>
      <c r="E28" s="24">
        <f t="shared" si="9"/>
        <v>0.921875</v>
      </c>
      <c r="F28" s="2">
        <v>60</v>
      </c>
      <c r="G28" s="2">
        <v>56</v>
      </c>
      <c r="H28" s="1"/>
      <c r="I28" s="1"/>
      <c r="J28" s="1"/>
      <c r="K28" s="1"/>
      <c r="L28" s="10"/>
      <c r="M28" s="9">
        <f t="shared" si="5"/>
        <v>2</v>
      </c>
      <c r="N28" s="21">
        <f t="shared" si="6"/>
        <v>61</v>
      </c>
      <c r="O28" s="25">
        <f t="shared" si="7"/>
        <v>0.953125</v>
      </c>
      <c r="P28" s="11">
        <v>60</v>
      </c>
      <c r="Q28" s="45">
        <f>'CANT OOCC'!CT85</f>
        <v>1</v>
      </c>
      <c r="R28" s="28">
        <v>56</v>
      </c>
      <c r="S28" s="45">
        <f>'CANT OOCC'!CT59</f>
        <v>1</v>
      </c>
      <c r="T28" s="22"/>
      <c r="U28" s="12"/>
      <c r="V28" s="22"/>
      <c r="W28" s="106"/>
      <c r="X28" s="22"/>
      <c r="Y28" s="10"/>
      <c r="Z28" s="22"/>
      <c r="AA28" s="10"/>
      <c r="AB28" s="43"/>
    </row>
    <row r="29" spans="1:28" x14ac:dyDescent="0.25">
      <c r="B29" s="96">
        <v>45843</v>
      </c>
      <c r="C29" s="48">
        <v>2</v>
      </c>
      <c r="D29" s="2">
        <f t="shared" si="8"/>
        <v>61</v>
      </c>
      <c r="E29" s="24">
        <f t="shared" si="9"/>
        <v>0.953125</v>
      </c>
      <c r="F29" s="2">
        <v>59</v>
      </c>
      <c r="G29" s="2">
        <v>61</v>
      </c>
      <c r="H29" s="1">
        <v>50</v>
      </c>
      <c r="I29" s="1"/>
      <c r="J29" s="1"/>
      <c r="K29" s="1"/>
      <c r="L29" s="10"/>
      <c r="M29" s="9">
        <f t="shared" si="5"/>
        <v>3</v>
      </c>
      <c r="N29" s="21">
        <f t="shared" si="6"/>
        <v>64</v>
      </c>
      <c r="O29" s="25">
        <f t="shared" si="7"/>
        <v>1</v>
      </c>
      <c r="P29" s="28">
        <v>59</v>
      </c>
      <c r="Q29" s="45">
        <f>'CANT OOCC'!CT84</f>
        <v>1</v>
      </c>
      <c r="R29" s="28">
        <v>61</v>
      </c>
      <c r="S29" s="45">
        <f>'CANT OOCC'!CT86</f>
        <v>1</v>
      </c>
      <c r="T29" s="28">
        <v>50</v>
      </c>
      <c r="U29" s="45">
        <f>'CANT OOCC'!CT77</f>
        <v>1</v>
      </c>
      <c r="V29" s="22"/>
      <c r="W29" s="10"/>
      <c r="X29" s="22"/>
      <c r="Y29" s="10"/>
      <c r="Z29" s="22"/>
      <c r="AA29" s="10"/>
      <c r="AB29" s="43"/>
    </row>
    <row r="30" spans="1:28" x14ac:dyDescent="0.25">
      <c r="B30" s="96">
        <v>45850</v>
      </c>
      <c r="C30" s="48">
        <v>3</v>
      </c>
      <c r="D30" s="2">
        <f t="shared" si="8"/>
        <v>64</v>
      </c>
      <c r="E30" s="24">
        <f t="shared" si="9"/>
        <v>1</v>
      </c>
      <c r="F30" s="2"/>
      <c r="G30" s="2"/>
      <c r="H30" s="1"/>
      <c r="I30" s="1"/>
      <c r="J30" s="1"/>
      <c r="K30" s="1"/>
      <c r="L30" s="10"/>
      <c r="M30" s="9">
        <f t="shared" si="5"/>
        <v>0</v>
      </c>
      <c r="N30" s="21">
        <f t="shared" si="6"/>
        <v>64</v>
      </c>
      <c r="O30" s="25">
        <f t="shared" si="7"/>
        <v>1</v>
      </c>
      <c r="P30" s="22"/>
      <c r="Q30" s="12"/>
      <c r="R30" s="22"/>
      <c r="S30" s="12"/>
      <c r="T30" s="22"/>
      <c r="U30" s="12"/>
      <c r="V30" s="22"/>
      <c r="W30" s="10"/>
      <c r="X30" s="22"/>
      <c r="Y30" s="10"/>
      <c r="Z30" s="22"/>
      <c r="AA30" s="10"/>
      <c r="AB30" s="43"/>
    </row>
    <row r="31" spans="1:28" x14ac:dyDescent="0.25">
      <c r="B31" s="96">
        <v>45857</v>
      </c>
      <c r="C31" s="48">
        <v>0</v>
      </c>
      <c r="D31" s="35">
        <f t="shared" si="8"/>
        <v>64</v>
      </c>
      <c r="E31" s="36">
        <f t="shared" si="9"/>
        <v>1</v>
      </c>
      <c r="F31" s="2"/>
      <c r="G31" s="2"/>
      <c r="H31" s="1"/>
      <c r="I31" s="1"/>
      <c r="J31" s="1"/>
      <c r="K31" s="1"/>
      <c r="L31" s="10"/>
      <c r="M31" s="9">
        <f t="shared" si="5"/>
        <v>0</v>
      </c>
      <c r="N31" s="21">
        <f t="shared" si="6"/>
        <v>64</v>
      </c>
      <c r="O31" s="25">
        <f t="shared" si="7"/>
        <v>1</v>
      </c>
      <c r="P31" s="22"/>
      <c r="Q31" s="12"/>
      <c r="R31" s="22"/>
      <c r="S31" s="12"/>
      <c r="T31" s="22"/>
      <c r="U31" s="12"/>
      <c r="V31" s="22"/>
      <c r="W31" s="10"/>
      <c r="X31" s="22"/>
      <c r="Y31" s="10"/>
      <c r="Z31" s="22"/>
      <c r="AA31" s="10"/>
      <c r="AB31" s="43"/>
    </row>
    <row r="32" spans="1:28" ht="15.75" thickBot="1" x14ac:dyDescent="0.3">
      <c r="B32" s="97">
        <v>45864</v>
      </c>
      <c r="C32" s="93">
        <v>0</v>
      </c>
      <c r="D32" s="71">
        <f t="shared" si="8"/>
        <v>64</v>
      </c>
      <c r="E32" s="72">
        <f t="shared" si="9"/>
        <v>1</v>
      </c>
      <c r="F32" s="71"/>
      <c r="G32" s="71"/>
      <c r="H32" s="73"/>
      <c r="I32" s="73"/>
      <c r="J32" s="73"/>
      <c r="K32" s="73"/>
      <c r="L32" s="74"/>
      <c r="M32" s="90">
        <f t="shared" si="5"/>
        <v>0</v>
      </c>
      <c r="N32" s="91">
        <f t="shared" si="6"/>
        <v>64</v>
      </c>
      <c r="O32" s="92">
        <f t="shared" si="7"/>
        <v>1</v>
      </c>
      <c r="P32" s="87"/>
      <c r="Q32" s="88"/>
      <c r="R32" s="87"/>
      <c r="S32" s="88"/>
      <c r="T32" s="87"/>
      <c r="U32" s="88"/>
      <c r="V32" s="87"/>
      <c r="W32" s="74"/>
      <c r="X32" s="87"/>
      <c r="Y32" s="74"/>
      <c r="Z32" s="87"/>
      <c r="AA32" s="74"/>
      <c r="AB32" s="89"/>
    </row>
  </sheetData>
  <mergeCells count="4">
    <mergeCell ref="F2:L2"/>
    <mergeCell ref="P2:AA2"/>
    <mergeCell ref="C1:L1"/>
    <mergeCell ref="M1:AA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74884-E890-4108-95CB-6A7D9110B8B7}">
  <dimension ref="A1:AD112"/>
  <sheetViews>
    <sheetView zoomScale="115" zoomScaleNormal="115" workbookViewId="0">
      <pane xSplit="1" topLeftCell="G1" activePane="topRight" state="frozen"/>
      <selection activeCell="J5" sqref="J5:J8"/>
      <selection pane="topRight" activeCell="J5" sqref="J5:J8"/>
    </sheetView>
  </sheetViews>
  <sheetFormatPr baseColWidth="10" defaultRowHeight="15" x14ac:dyDescent="0.25"/>
  <cols>
    <col min="1" max="1" width="9.5703125" customWidth="1"/>
    <col min="2" max="2" width="17.7109375" customWidth="1"/>
    <col min="3" max="3" width="10.28515625" customWidth="1"/>
    <col min="4" max="4" width="9.5703125" customWidth="1"/>
    <col min="5" max="8" width="12" customWidth="1"/>
    <col min="9" max="11" width="10.28515625" customWidth="1"/>
    <col min="18" max="19" width="9.28515625" customWidth="1"/>
    <col min="20" max="20" width="14.7109375" customWidth="1"/>
    <col min="21" max="21" width="12.140625" customWidth="1"/>
    <col min="22" max="22" width="13.140625" customWidth="1"/>
    <col min="23" max="23" width="9.42578125" customWidth="1"/>
    <col min="27" max="27" width="13.42578125" style="62" customWidth="1"/>
    <col min="28" max="28" width="12.7109375" style="31" customWidth="1"/>
    <col min="29" max="29" width="11.5703125" style="1"/>
  </cols>
  <sheetData>
    <row r="1" spans="1:30" s="192" customFormat="1" ht="41.45" customHeight="1" x14ac:dyDescent="0.25">
      <c r="A1" s="219" t="s">
        <v>110</v>
      </c>
      <c r="B1" s="219" t="s">
        <v>111</v>
      </c>
      <c r="C1" s="219" t="s">
        <v>112</v>
      </c>
      <c r="D1" s="219" t="s">
        <v>113</v>
      </c>
      <c r="E1" s="220" t="s">
        <v>342</v>
      </c>
      <c r="F1" s="220" t="s">
        <v>344</v>
      </c>
      <c r="G1" s="220" t="s">
        <v>343</v>
      </c>
      <c r="H1" s="220" t="s">
        <v>288</v>
      </c>
      <c r="I1" s="220" t="s">
        <v>289</v>
      </c>
      <c r="J1" s="220" t="s">
        <v>340</v>
      </c>
      <c r="K1" s="220" t="s">
        <v>341</v>
      </c>
      <c r="L1" s="220" t="s">
        <v>290</v>
      </c>
      <c r="M1" s="220" t="s">
        <v>339</v>
      </c>
      <c r="N1" s="220" t="s">
        <v>291</v>
      </c>
      <c r="O1" s="220" t="s">
        <v>292</v>
      </c>
      <c r="P1" s="220" t="s">
        <v>293</v>
      </c>
      <c r="Q1" s="220" t="s">
        <v>301</v>
      </c>
      <c r="R1" s="174" t="s">
        <v>313</v>
      </c>
      <c r="S1" s="174" t="s">
        <v>209</v>
      </c>
      <c r="T1" s="174" t="s">
        <v>302</v>
      </c>
      <c r="U1" s="174" t="s">
        <v>303</v>
      </c>
      <c r="V1" s="174" t="s">
        <v>304</v>
      </c>
      <c r="W1" s="174" t="s">
        <v>294</v>
      </c>
      <c r="X1" s="163" t="s">
        <v>295</v>
      </c>
      <c r="Y1" s="163" t="s">
        <v>296</v>
      </c>
      <c r="Z1" s="163" t="s">
        <v>297</v>
      </c>
      <c r="AA1" s="221" t="s">
        <v>298</v>
      </c>
      <c r="AB1" s="222" t="s">
        <v>299</v>
      </c>
      <c r="AC1" s="163" t="s">
        <v>300</v>
      </c>
    </row>
    <row r="2" spans="1:30" x14ac:dyDescent="0.25">
      <c r="A2" s="52"/>
      <c r="B2" s="52"/>
      <c r="C2" s="52"/>
      <c r="D2" s="52"/>
      <c r="E2" s="52"/>
      <c r="F2" s="52"/>
      <c r="G2" s="52"/>
      <c r="H2" s="52"/>
      <c r="I2" s="185">
        <v>0.1</v>
      </c>
      <c r="J2" s="58"/>
      <c r="K2" s="58"/>
      <c r="L2" s="185">
        <v>0.2</v>
      </c>
      <c r="M2" s="58"/>
      <c r="N2" s="58"/>
      <c r="O2" s="58"/>
      <c r="P2" s="58"/>
      <c r="Q2" s="58"/>
      <c r="R2" s="185">
        <v>0.45</v>
      </c>
      <c r="S2" s="2"/>
      <c r="T2" s="2"/>
      <c r="U2" s="2"/>
      <c r="V2" s="2"/>
      <c r="W2" s="185">
        <v>0.25</v>
      </c>
      <c r="X2" s="1"/>
      <c r="Y2" s="1"/>
      <c r="Z2" s="1"/>
      <c r="AA2" s="53">
        <f>SUM(E2:X2)</f>
        <v>1</v>
      </c>
      <c r="AB2" s="21"/>
    </row>
    <row r="3" spans="1:30" x14ac:dyDescent="0.25">
      <c r="A3" s="54" t="s">
        <v>11</v>
      </c>
      <c r="B3" s="54" t="str">
        <f t="shared" ref="B3:B66" si="0">+IF(OR(C3="A",C3="A especial"),"Suspensión","Retención")</f>
        <v>Retención</v>
      </c>
      <c r="C3" s="54" t="s">
        <v>117</v>
      </c>
      <c r="D3" s="54" t="s">
        <v>118</v>
      </c>
      <c r="E3" s="54"/>
      <c r="F3" s="54"/>
      <c r="G3" s="54"/>
      <c r="H3" s="54"/>
      <c r="I3" s="55">
        <v>1</v>
      </c>
      <c r="J3" s="55"/>
      <c r="K3" s="55"/>
      <c r="L3" s="55">
        <v>0.8</v>
      </c>
      <c r="M3" s="55"/>
      <c r="N3" s="55"/>
      <c r="O3" s="55"/>
      <c r="P3" s="55"/>
      <c r="Q3" s="55"/>
      <c r="R3" s="56">
        <v>1</v>
      </c>
      <c r="S3" s="56"/>
      <c r="T3" s="56"/>
      <c r="U3" s="56"/>
      <c r="V3" s="56"/>
      <c r="W3" s="56">
        <v>1</v>
      </c>
      <c r="X3" s="205">
        <v>1</v>
      </c>
      <c r="Y3" s="56"/>
      <c r="Z3" s="56"/>
      <c r="AA3" s="53">
        <f t="shared" ref="AA3:AA34" si="1">SUMPRODUCT($I$2:$W$2,I3:W3)</f>
        <v>0.96</v>
      </c>
      <c r="AB3" s="206">
        <v>1</v>
      </c>
      <c r="AC3" s="17" t="s">
        <v>135</v>
      </c>
      <c r="AD3" s="62"/>
    </row>
    <row r="4" spans="1:30" x14ac:dyDescent="0.25">
      <c r="A4" s="54" t="s">
        <v>13</v>
      </c>
      <c r="B4" s="54" t="str">
        <f t="shared" si="0"/>
        <v>Retención</v>
      </c>
      <c r="C4" s="54" t="s">
        <v>119</v>
      </c>
      <c r="D4" s="54" t="s">
        <v>120</v>
      </c>
      <c r="E4" s="54"/>
      <c r="F4" s="54"/>
      <c r="G4" s="54"/>
      <c r="H4" s="54"/>
      <c r="I4" s="55">
        <v>1</v>
      </c>
      <c r="J4" s="55"/>
      <c r="K4" s="55"/>
      <c r="L4" s="55">
        <v>1</v>
      </c>
      <c r="M4" s="55"/>
      <c r="N4" s="55"/>
      <c r="O4" s="55"/>
      <c r="P4" s="55"/>
      <c r="Q4" s="55"/>
      <c r="R4" s="56">
        <v>1</v>
      </c>
      <c r="S4" s="56"/>
      <c r="T4" s="56"/>
      <c r="U4" s="56"/>
      <c r="V4" s="56"/>
      <c r="W4" s="56">
        <v>1</v>
      </c>
      <c r="X4" s="205">
        <v>0</v>
      </c>
      <c r="Y4" s="56"/>
      <c r="Z4" s="56"/>
      <c r="AA4" s="53">
        <f t="shared" si="1"/>
        <v>1</v>
      </c>
      <c r="AB4" s="206">
        <v>1</v>
      </c>
      <c r="AC4" s="17" t="s">
        <v>135</v>
      </c>
      <c r="AD4" s="62"/>
    </row>
    <row r="5" spans="1:30" x14ac:dyDescent="0.25">
      <c r="A5" s="54" t="s">
        <v>14</v>
      </c>
      <c r="B5" s="54" t="str">
        <f t="shared" si="0"/>
        <v>Retención</v>
      </c>
      <c r="C5" s="54" t="s">
        <v>119</v>
      </c>
      <c r="D5" s="54" t="s">
        <v>120</v>
      </c>
      <c r="E5" s="54"/>
      <c r="F5" s="54"/>
      <c r="G5" s="54"/>
      <c r="H5" s="54"/>
      <c r="I5" s="55">
        <v>1</v>
      </c>
      <c r="J5" s="55"/>
      <c r="K5" s="55"/>
      <c r="L5" s="55">
        <v>1</v>
      </c>
      <c r="M5" s="55"/>
      <c r="N5" s="55"/>
      <c r="O5" s="55"/>
      <c r="P5" s="55"/>
      <c r="Q5" s="55"/>
      <c r="R5" s="56">
        <v>1</v>
      </c>
      <c r="S5" s="56"/>
      <c r="T5" s="56"/>
      <c r="U5" s="56"/>
      <c r="V5" s="56"/>
      <c r="W5" s="56">
        <v>1</v>
      </c>
      <c r="X5" s="205">
        <v>1</v>
      </c>
      <c r="Y5" s="56"/>
      <c r="Z5" s="56"/>
      <c r="AA5" s="53">
        <f t="shared" si="1"/>
        <v>1</v>
      </c>
      <c r="AB5" s="207">
        <v>1</v>
      </c>
      <c r="AC5" s="17" t="s">
        <v>137</v>
      </c>
      <c r="AD5" s="62"/>
    </row>
    <row r="6" spans="1:30" x14ac:dyDescent="0.25">
      <c r="A6" s="54" t="s">
        <v>15</v>
      </c>
      <c r="B6" s="54" t="str">
        <f t="shared" si="0"/>
        <v>Retención</v>
      </c>
      <c r="C6" s="54" t="s">
        <v>117</v>
      </c>
      <c r="D6" s="54" t="s">
        <v>120</v>
      </c>
      <c r="E6" s="54"/>
      <c r="F6" s="54"/>
      <c r="G6" s="54"/>
      <c r="H6" s="54"/>
      <c r="I6" s="55">
        <v>1</v>
      </c>
      <c r="J6" s="55"/>
      <c r="K6" s="55"/>
      <c r="L6" s="55">
        <v>1</v>
      </c>
      <c r="M6" s="55"/>
      <c r="N6" s="55"/>
      <c r="O6" s="55"/>
      <c r="P6" s="55"/>
      <c r="Q6" s="55"/>
      <c r="R6" s="56">
        <v>1</v>
      </c>
      <c r="S6" s="56"/>
      <c r="T6" s="56"/>
      <c r="U6" s="56"/>
      <c r="V6" s="56"/>
      <c r="W6" s="56">
        <v>1</v>
      </c>
      <c r="X6" s="205">
        <v>1</v>
      </c>
      <c r="Y6" s="56"/>
      <c r="Z6" s="56"/>
      <c r="AA6" s="53">
        <f t="shared" si="1"/>
        <v>1</v>
      </c>
      <c r="AB6" s="21">
        <v>1</v>
      </c>
      <c r="AC6" s="17" t="s">
        <v>134</v>
      </c>
      <c r="AD6" s="62"/>
    </row>
    <row r="7" spans="1:30" x14ac:dyDescent="0.25">
      <c r="A7" s="54" t="s">
        <v>16</v>
      </c>
      <c r="B7" s="54" t="str">
        <f t="shared" si="0"/>
        <v>Retención</v>
      </c>
      <c r="C7" s="54" t="s">
        <v>119</v>
      </c>
      <c r="D7" s="54" t="s">
        <v>121</v>
      </c>
      <c r="E7" s="54"/>
      <c r="F7" s="54"/>
      <c r="G7" s="54"/>
      <c r="H7" s="54"/>
      <c r="I7" s="55">
        <v>1</v>
      </c>
      <c r="J7" s="55"/>
      <c r="K7" s="55"/>
      <c r="L7" s="55">
        <v>1</v>
      </c>
      <c r="M7" s="55"/>
      <c r="N7" s="55"/>
      <c r="O7" s="55"/>
      <c r="P7" s="55"/>
      <c r="Q7" s="55"/>
      <c r="R7" s="56">
        <v>1</v>
      </c>
      <c r="S7" s="56"/>
      <c r="T7" s="56"/>
      <c r="U7" s="56"/>
      <c r="V7" s="56"/>
      <c r="W7" s="56">
        <v>1</v>
      </c>
      <c r="X7" s="205">
        <v>1</v>
      </c>
      <c r="Y7" s="56"/>
      <c r="Z7" s="56"/>
      <c r="AA7" s="53">
        <f t="shared" si="1"/>
        <v>1</v>
      </c>
      <c r="AB7" s="206">
        <v>1</v>
      </c>
      <c r="AC7" s="17" t="s">
        <v>134</v>
      </c>
      <c r="AD7" s="62"/>
    </row>
    <row r="8" spans="1:30" x14ac:dyDescent="0.25">
      <c r="A8" s="54" t="s">
        <v>17</v>
      </c>
      <c r="B8" s="54" t="str">
        <f t="shared" si="0"/>
        <v>Retención</v>
      </c>
      <c r="C8" s="54" t="s">
        <v>122</v>
      </c>
      <c r="D8" s="54" t="s">
        <v>121</v>
      </c>
      <c r="E8" s="54"/>
      <c r="F8" s="54"/>
      <c r="G8" s="54"/>
      <c r="H8" s="54"/>
      <c r="I8" s="55">
        <v>1</v>
      </c>
      <c r="J8" s="55"/>
      <c r="K8" s="55"/>
      <c r="L8" s="55">
        <v>1</v>
      </c>
      <c r="M8" s="55"/>
      <c r="N8" s="55"/>
      <c r="O8" s="55"/>
      <c r="P8" s="55"/>
      <c r="Q8" s="55"/>
      <c r="R8" s="56">
        <v>1</v>
      </c>
      <c r="S8" s="56"/>
      <c r="T8" s="56"/>
      <c r="U8" s="56"/>
      <c r="V8" s="56"/>
      <c r="W8" s="56">
        <v>1</v>
      </c>
      <c r="X8" s="205">
        <v>1</v>
      </c>
      <c r="Y8" s="56"/>
      <c r="Z8" s="56"/>
      <c r="AA8" s="53">
        <f t="shared" si="1"/>
        <v>1</v>
      </c>
      <c r="AB8" s="206">
        <v>1</v>
      </c>
      <c r="AC8" s="17" t="s">
        <v>134</v>
      </c>
      <c r="AD8" s="62"/>
    </row>
    <row r="9" spans="1:30" x14ac:dyDescent="0.25">
      <c r="A9" s="54" t="s">
        <v>18</v>
      </c>
      <c r="B9" s="54" t="str">
        <f t="shared" si="0"/>
        <v>Retención</v>
      </c>
      <c r="C9" s="54" t="s">
        <v>119</v>
      </c>
      <c r="D9" s="54" t="s">
        <v>121</v>
      </c>
      <c r="E9" s="54"/>
      <c r="F9" s="54"/>
      <c r="G9" s="54"/>
      <c r="H9" s="54"/>
      <c r="I9" s="55">
        <v>1</v>
      </c>
      <c r="J9" s="55"/>
      <c r="K9" s="55"/>
      <c r="L9" s="55">
        <v>1</v>
      </c>
      <c r="M9" s="55"/>
      <c r="N9" s="55"/>
      <c r="O9" s="55"/>
      <c r="P9" s="55"/>
      <c r="Q9" s="55"/>
      <c r="R9" s="56">
        <v>1</v>
      </c>
      <c r="S9" s="56"/>
      <c r="T9" s="56"/>
      <c r="U9" s="56"/>
      <c r="V9" s="56"/>
      <c r="W9" s="56">
        <v>1</v>
      </c>
      <c r="X9" s="205">
        <v>1</v>
      </c>
      <c r="Y9" s="56"/>
      <c r="Z9" s="56"/>
      <c r="AA9" s="53">
        <f t="shared" si="1"/>
        <v>1</v>
      </c>
      <c r="AB9" s="207">
        <v>1</v>
      </c>
      <c r="AC9" s="17" t="s">
        <v>134</v>
      </c>
      <c r="AD9" s="62"/>
    </row>
    <row r="10" spans="1:30" x14ac:dyDescent="0.25">
      <c r="A10" s="54" t="s">
        <v>19</v>
      </c>
      <c r="B10" s="54" t="str">
        <f t="shared" si="0"/>
        <v>Retención</v>
      </c>
      <c r="C10" s="54" t="s">
        <v>119</v>
      </c>
      <c r="D10" s="54" t="s">
        <v>118</v>
      </c>
      <c r="E10" s="54"/>
      <c r="F10" s="54"/>
      <c r="G10" s="54"/>
      <c r="H10" s="54"/>
      <c r="I10" s="55">
        <v>1</v>
      </c>
      <c r="J10" s="55"/>
      <c r="K10" s="55"/>
      <c r="L10" s="55">
        <v>1</v>
      </c>
      <c r="M10" s="55"/>
      <c r="N10" s="55"/>
      <c r="O10" s="55"/>
      <c r="P10" s="55"/>
      <c r="Q10" s="55"/>
      <c r="R10" s="56">
        <v>1</v>
      </c>
      <c r="S10" s="56"/>
      <c r="T10" s="56"/>
      <c r="U10" s="56"/>
      <c r="V10" s="56"/>
      <c r="W10" s="56">
        <v>1</v>
      </c>
      <c r="X10" s="205">
        <v>1</v>
      </c>
      <c r="Y10" s="56"/>
      <c r="Z10" s="56"/>
      <c r="AA10" s="53">
        <f t="shared" si="1"/>
        <v>1</v>
      </c>
      <c r="AB10" s="208">
        <v>1</v>
      </c>
      <c r="AC10" s="17" t="s">
        <v>134</v>
      </c>
      <c r="AD10" s="62"/>
    </row>
    <row r="11" spans="1:30" x14ac:dyDescent="0.25">
      <c r="A11" s="54" t="s">
        <v>20</v>
      </c>
      <c r="B11" s="54" t="str">
        <f t="shared" si="0"/>
        <v>Retención</v>
      </c>
      <c r="C11" s="54" t="s">
        <v>119</v>
      </c>
      <c r="D11" s="54" t="s">
        <v>120</v>
      </c>
      <c r="E11" s="54"/>
      <c r="F11" s="54"/>
      <c r="G11" s="54"/>
      <c r="H11" s="54"/>
      <c r="I11" s="55">
        <v>1</v>
      </c>
      <c r="J11" s="55"/>
      <c r="K11" s="55"/>
      <c r="L11" s="55">
        <v>1</v>
      </c>
      <c r="M11" s="55"/>
      <c r="N11" s="55"/>
      <c r="O11" s="55"/>
      <c r="P11" s="55"/>
      <c r="Q11" s="55"/>
      <c r="R11" s="56">
        <v>1</v>
      </c>
      <c r="S11" s="56"/>
      <c r="T11" s="56"/>
      <c r="U11" s="56"/>
      <c r="V11" s="56"/>
      <c r="W11" s="56">
        <v>1</v>
      </c>
      <c r="X11" s="205">
        <v>1</v>
      </c>
      <c r="Y11" s="56"/>
      <c r="Z11" s="56"/>
      <c r="AA11" s="53">
        <f t="shared" si="1"/>
        <v>1</v>
      </c>
      <c r="AB11" s="208">
        <v>1</v>
      </c>
      <c r="AC11" s="17" t="s">
        <v>134</v>
      </c>
      <c r="AD11" s="62"/>
    </row>
    <row r="12" spans="1:30" x14ac:dyDescent="0.25">
      <c r="A12" s="54" t="s">
        <v>21</v>
      </c>
      <c r="B12" s="54" t="str">
        <f t="shared" si="0"/>
        <v>Retención</v>
      </c>
      <c r="C12" s="54" t="s">
        <v>119</v>
      </c>
      <c r="D12" s="54" t="s">
        <v>123</v>
      </c>
      <c r="E12" s="54"/>
      <c r="F12" s="54"/>
      <c r="G12" s="54"/>
      <c r="H12" s="54"/>
      <c r="I12" s="55">
        <v>1</v>
      </c>
      <c r="J12" s="55"/>
      <c r="K12" s="55"/>
      <c r="L12" s="55">
        <v>1</v>
      </c>
      <c r="M12" s="55"/>
      <c r="N12" s="55"/>
      <c r="O12" s="55"/>
      <c r="P12" s="55"/>
      <c r="Q12" s="55"/>
      <c r="R12" s="56">
        <v>1</v>
      </c>
      <c r="S12" s="56"/>
      <c r="T12" s="56"/>
      <c r="U12" s="56"/>
      <c r="V12" s="56"/>
      <c r="W12" s="56">
        <v>1</v>
      </c>
      <c r="X12" s="205">
        <v>1</v>
      </c>
      <c r="Y12" s="56"/>
      <c r="Z12" s="56"/>
      <c r="AA12" s="53">
        <f t="shared" si="1"/>
        <v>1</v>
      </c>
      <c r="AB12" s="208">
        <v>1</v>
      </c>
      <c r="AC12" s="17" t="s">
        <v>134</v>
      </c>
      <c r="AD12" s="62"/>
    </row>
    <row r="13" spans="1:30" x14ac:dyDescent="0.25">
      <c r="A13" s="54" t="s">
        <v>22</v>
      </c>
      <c r="B13" s="54" t="str">
        <f t="shared" si="0"/>
        <v>Retención</v>
      </c>
      <c r="C13" s="54" t="s">
        <v>122</v>
      </c>
      <c r="D13" s="54" t="s">
        <v>124</v>
      </c>
      <c r="E13" s="54"/>
      <c r="F13" s="54"/>
      <c r="G13" s="54"/>
      <c r="H13" s="54"/>
      <c r="I13" s="55">
        <v>1</v>
      </c>
      <c r="J13" s="55"/>
      <c r="K13" s="55"/>
      <c r="L13" s="55">
        <v>1</v>
      </c>
      <c r="M13" s="55"/>
      <c r="N13" s="55"/>
      <c r="O13" s="55"/>
      <c r="P13" s="55"/>
      <c r="Q13" s="55"/>
      <c r="R13" s="56">
        <v>1</v>
      </c>
      <c r="S13" s="56"/>
      <c r="T13" s="56"/>
      <c r="U13" s="56"/>
      <c r="V13" s="56"/>
      <c r="W13" s="56">
        <v>1</v>
      </c>
      <c r="X13" s="205">
        <v>1</v>
      </c>
      <c r="Y13" s="56"/>
      <c r="Z13" s="56"/>
      <c r="AA13" s="53">
        <f t="shared" si="1"/>
        <v>1</v>
      </c>
      <c r="AB13" s="21">
        <v>1</v>
      </c>
      <c r="AC13" s="17" t="s">
        <v>134</v>
      </c>
    </row>
    <row r="14" spans="1:30" x14ac:dyDescent="0.25">
      <c r="A14" s="54" t="s">
        <v>23</v>
      </c>
      <c r="B14" s="54" t="str">
        <f t="shared" si="0"/>
        <v>Retención</v>
      </c>
      <c r="C14" s="54" t="s">
        <v>119</v>
      </c>
      <c r="D14" s="54" t="s">
        <v>124</v>
      </c>
      <c r="E14" s="54"/>
      <c r="F14" s="54"/>
      <c r="G14" s="54"/>
      <c r="H14" s="54"/>
      <c r="I14" s="55">
        <v>1</v>
      </c>
      <c r="J14" s="55"/>
      <c r="K14" s="55"/>
      <c r="L14" s="55">
        <v>1</v>
      </c>
      <c r="M14" s="55"/>
      <c r="N14" s="55"/>
      <c r="O14" s="55"/>
      <c r="P14" s="55"/>
      <c r="Q14" s="55"/>
      <c r="R14" s="56">
        <v>1</v>
      </c>
      <c r="S14" s="56"/>
      <c r="T14" s="56"/>
      <c r="U14" s="56"/>
      <c r="V14" s="56"/>
      <c r="W14" s="56">
        <v>1</v>
      </c>
      <c r="X14" s="205">
        <v>1</v>
      </c>
      <c r="Y14" s="56"/>
      <c r="Z14" s="56"/>
      <c r="AA14" s="53">
        <f t="shared" si="1"/>
        <v>1</v>
      </c>
      <c r="AB14" s="207">
        <v>1</v>
      </c>
      <c r="AC14" s="17" t="s">
        <v>135</v>
      </c>
    </row>
    <row r="15" spans="1:30" x14ac:dyDescent="0.25">
      <c r="A15" s="54" t="s">
        <v>24</v>
      </c>
      <c r="B15" s="54" t="str">
        <f t="shared" si="0"/>
        <v>Retención</v>
      </c>
      <c r="C15" s="54" t="s">
        <v>122</v>
      </c>
      <c r="D15" s="54" t="s">
        <v>125</v>
      </c>
      <c r="E15" s="54"/>
      <c r="F15" s="54"/>
      <c r="G15" s="54"/>
      <c r="H15" s="54"/>
      <c r="I15" s="55">
        <v>1</v>
      </c>
      <c r="J15" s="55"/>
      <c r="K15" s="55"/>
      <c r="L15" s="55">
        <v>1</v>
      </c>
      <c r="M15" s="55"/>
      <c r="N15" s="55"/>
      <c r="O15" s="55"/>
      <c r="P15" s="55"/>
      <c r="Q15" s="55"/>
      <c r="R15" s="56">
        <v>1</v>
      </c>
      <c r="S15" s="56"/>
      <c r="T15" s="56"/>
      <c r="U15" s="56"/>
      <c r="V15" s="56"/>
      <c r="W15" s="56">
        <v>1</v>
      </c>
      <c r="X15" s="205">
        <v>1</v>
      </c>
      <c r="Y15" s="56"/>
      <c r="Z15" s="56"/>
      <c r="AA15" s="53">
        <f t="shared" si="1"/>
        <v>1</v>
      </c>
      <c r="AB15" s="206">
        <v>1</v>
      </c>
      <c r="AC15" s="17" t="s">
        <v>135</v>
      </c>
    </row>
    <row r="16" spans="1:30" x14ac:dyDescent="0.25">
      <c r="A16" s="54" t="s">
        <v>25</v>
      </c>
      <c r="B16" s="54" t="str">
        <f t="shared" si="0"/>
        <v>Retención</v>
      </c>
      <c r="C16" s="54" t="s">
        <v>119</v>
      </c>
      <c r="D16" s="54" t="s">
        <v>120</v>
      </c>
      <c r="E16" s="54"/>
      <c r="F16" s="54"/>
      <c r="G16" s="54"/>
      <c r="H16" s="54"/>
      <c r="I16" s="55">
        <v>1</v>
      </c>
      <c r="J16" s="55"/>
      <c r="K16" s="55"/>
      <c r="L16" s="55">
        <v>1</v>
      </c>
      <c r="M16" s="55"/>
      <c r="N16" s="55"/>
      <c r="O16" s="55"/>
      <c r="P16" s="55"/>
      <c r="Q16" s="55"/>
      <c r="R16" s="56">
        <v>1</v>
      </c>
      <c r="S16" s="56"/>
      <c r="T16" s="56"/>
      <c r="U16" s="56"/>
      <c r="V16" s="56"/>
      <c r="W16" s="56">
        <v>1</v>
      </c>
      <c r="X16" s="56">
        <v>1</v>
      </c>
      <c r="Y16" s="56"/>
      <c r="Z16" s="56"/>
      <c r="AA16" s="53">
        <f t="shared" si="1"/>
        <v>1</v>
      </c>
      <c r="AB16" s="207">
        <v>1</v>
      </c>
      <c r="AC16" s="17" t="s">
        <v>135</v>
      </c>
    </row>
    <row r="17" spans="1:29" x14ac:dyDescent="0.25">
      <c r="A17" s="54" t="s">
        <v>27</v>
      </c>
      <c r="B17" s="54" t="str">
        <f t="shared" si="0"/>
        <v>Suspensión</v>
      </c>
      <c r="C17" s="54" t="s">
        <v>126</v>
      </c>
      <c r="D17" s="54" t="s">
        <v>124</v>
      </c>
      <c r="E17" s="54"/>
      <c r="F17" s="54"/>
      <c r="G17" s="54"/>
      <c r="H17" s="54"/>
      <c r="I17" s="55">
        <v>1</v>
      </c>
      <c r="J17" s="55"/>
      <c r="K17" s="55"/>
      <c r="L17" s="55">
        <v>1</v>
      </c>
      <c r="M17" s="55"/>
      <c r="N17" s="55"/>
      <c r="O17" s="55"/>
      <c r="P17" s="55"/>
      <c r="Q17" s="55"/>
      <c r="R17" s="56">
        <v>1</v>
      </c>
      <c r="S17" s="56"/>
      <c r="T17" s="56"/>
      <c r="U17" s="56"/>
      <c r="V17" s="56"/>
      <c r="W17" s="56">
        <v>1</v>
      </c>
      <c r="X17" s="56">
        <v>1</v>
      </c>
      <c r="Y17" s="56"/>
      <c r="Z17" s="56"/>
      <c r="AA17" s="53">
        <f t="shared" si="1"/>
        <v>1</v>
      </c>
      <c r="AB17" s="207">
        <v>1</v>
      </c>
      <c r="AC17" s="17" t="s">
        <v>135</v>
      </c>
    </row>
    <row r="18" spans="1:29" x14ac:dyDescent="0.25">
      <c r="A18" s="54" t="s">
        <v>28</v>
      </c>
      <c r="B18" s="54" t="str">
        <f t="shared" si="0"/>
        <v>Suspensión</v>
      </c>
      <c r="C18" s="54" t="s">
        <v>126</v>
      </c>
      <c r="D18" s="54" t="s">
        <v>121</v>
      </c>
      <c r="E18" s="54"/>
      <c r="F18" s="54"/>
      <c r="G18" s="54"/>
      <c r="H18" s="54"/>
      <c r="I18" s="55">
        <v>1</v>
      </c>
      <c r="J18" s="55"/>
      <c r="K18" s="55"/>
      <c r="L18" s="55">
        <v>1</v>
      </c>
      <c r="M18" s="55"/>
      <c r="N18" s="55"/>
      <c r="O18" s="55"/>
      <c r="P18" s="55"/>
      <c r="Q18" s="55"/>
      <c r="R18" s="56">
        <v>1</v>
      </c>
      <c r="S18" s="56"/>
      <c r="T18" s="56"/>
      <c r="U18" s="56"/>
      <c r="V18" s="56"/>
      <c r="W18" s="56">
        <v>1</v>
      </c>
      <c r="X18" s="56">
        <v>1</v>
      </c>
      <c r="Y18" s="56"/>
      <c r="Z18" s="56"/>
      <c r="AA18" s="53">
        <f t="shared" si="1"/>
        <v>1</v>
      </c>
      <c r="AB18" s="206">
        <v>1</v>
      </c>
      <c r="AC18" s="17" t="s">
        <v>135</v>
      </c>
    </row>
    <row r="19" spans="1:29" x14ac:dyDescent="0.25">
      <c r="A19" s="54" t="s">
        <v>29</v>
      </c>
      <c r="B19" s="54" t="str">
        <f t="shared" si="0"/>
        <v>Suspensión</v>
      </c>
      <c r="C19" s="54" t="s">
        <v>126</v>
      </c>
      <c r="D19" s="54" t="s">
        <v>121</v>
      </c>
      <c r="E19" s="54"/>
      <c r="F19" s="54"/>
      <c r="G19" s="54"/>
      <c r="H19" s="54"/>
      <c r="I19" s="55">
        <v>1</v>
      </c>
      <c r="J19" s="55"/>
      <c r="K19" s="55"/>
      <c r="L19" s="55">
        <v>1</v>
      </c>
      <c r="M19" s="55"/>
      <c r="N19" s="55"/>
      <c r="O19" s="55"/>
      <c r="P19" s="55"/>
      <c r="Q19" s="55"/>
      <c r="R19" s="56">
        <v>1</v>
      </c>
      <c r="S19" s="56"/>
      <c r="T19" s="56"/>
      <c r="U19" s="56"/>
      <c r="V19" s="56"/>
      <c r="W19" s="56">
        <v>1</v>
      </c>
      <c r="X19" s="56">
        <v>1</v>
      </c>
      <c r="Y19" s="56"/>
      <c r="Z19" s="56"/>
      <c r="AA19" s="53">
        <f t="shared" si="1"/>
        <v>1</v>
      </c>
      <c r="AB19" s="206">
        <v>1</v>
      </c>
      <c r="AC19" s="17" t="s">
        <v>135</v>
      </c>
    </row>
    <row r="20" spans="1:29" x14ac:dyDescent="0.25">
      <c r="A20" s="54" t="s">
        <v>30</v>
      </c>
      <c r="B20" s="54" t="str">
        <f t="shared" si="0"/>
        <v>Retención</v>
      </c>
      <c r="C20" s="54" t="s">
        <v>119</v>
      </c>
      <c r="D20" s="54" t="s">
        <v>125</v>
      </c>
      <c r="E20" s="54"/>
      <c r="F20" s="54"/>
      <c r="G20" s="54"/>
      <c r="H20" s="54"/>
      <c r="I20" s="55">
        <v>1</v>
      </c>
      <c r="J20" s="55"/>
      <c r="K20" s="55"/>
      <c r="L20" s="55">
        <v>1</v>
      </c>
      <c r="M20" s="55"/>
      <c r="N20" s="55"/>
      <c r="O20" s="55"/>
      <c r="P20" s="55"/>
      <c r="Q20" s="55"/>
      <c r="R20" s="56">
        <v>1</v>
      </c>
      <c r="S20" s="56"/>
      <c r="T20" s="56"/>
      <c r="U20" s="56"/>
      <c r="V20" s="56"/>
      <c r="W20" s="56">
        <v>1</v>
      </c>
      <c r="X20" s="56">
        <v>1</v>
      </c>
      <c r="Y20" s="56"/>
      <c r="Z20" s="56"/>
      <c r="AA20" s="53">
        <f t="shared" si="1"/>
        <v>1</v>
      </c>
      <c r="AB20" s="206">
        <v>1</v>
      </c>
      <c r="AC20" s="17" t="s">
        <v>135</v>
      </c>
    </row>
    <row r="21" spans="1:29" x14ac:dyDescent="0.25">
      <c r="A21" s="54" t="s">
        <v>31</v>
      </c>
      <c r="B21" s="54" t="str">
        <f t="shared" si="0"/>
        <v>Suspensión</v>
      </c>
      <c r="C21" s="54" t="s">
        <v>126</v>
      </c>
      <c r="D21" s="54" t="s">
        <v>118</v>
      </c>
      <c r="E21" s="54"/>
      <c r="F21" s="54"/>
      <c r="G21" s="54"/>
      <c r="H21" s="54"/>
      <c r="I21" s="55">
        <v>1</v>
      </c>
      <c r="J21" s="55"/>
      <c r="K21" s="55"/>
      <c r="L21" s="55">
        <v>1</v>
      </c>
      <c r="M21" s="55"/>
      <c r="N21" s="55"/>
      <c r="O21" s="55"/>
      <c r="P21" s="55"/>
      <c r="Q21" s="55"/>
      <c r="R21" s="56">
        <v>1</v>
      </c>
      <c r="S21" s="56"/>
      <c r="T21" s="56"/>
      <c r="U21" s="56"/>
      <c r="V21" s="56"/>
      <c r="W21" s="56">
        <v>1</v>
      </c>
      <c r="X21" s="56">
        <v>1</v>
      </c>
      <c r="Y21" s="56"/>
      <c r="Z21" s="56"/>
      <c r="AA21" s="53">
        <f t="shared" si="1"/>
        <v>1</v>
      </c>
      <c r="AB21" s="208">
        <v>1</v>
      </c>
      <c r="AC21" s="17" t="s">
        <v>135</v>
      </c>
    </row>
    <row r="22" spans="1:29" x14ac:dyDescent="0.25">
      <c r="A22" s="54" t="s">
        <v>32</v>
      </c>
      <c r="B22" s="54" t="str">
        <f t="shared" si="0"/>
        <v>Suspensión</v>
      </c>
      <c r="C22" s="54" t="s">
        <v>126</v>
      </c>
      <c r="D22" s="54" t="s">
        <v>124</v>
      </c>
      <c r="E22" s="54"/>
      <c r="F22" s="54"/>
      <c r="G22" s="54"/>
      <c r="H22" s="54"/>
      <c r="I22" s="55">
        <v>1</v>
      </c>
      <c r="J22" s="55"/>
      <c r="K22" s="55"/>
      <c r="L22" s="55">
        <v>1</v>
      </c>
      <c r="M22" s="55"/>
      <c r="N22" s="55"/>
      <c r="O22" s="55"/>
      <c r="P22" s="55"/>
      <c r="Q22" s="55"/>
      <c r="R22" s="56">
        <v>1</v>
      </c>
      <c r="S22" s="56"/>
      <c r="T22" s="56"/>
      <c r="U22" s="56"/>
      <c r="V22" s="56"/>
      <c r="W22" s="56">
        <v>1</v>
      </c>
      <c r="X22" s="56">
        <v>1</v>
      </c>
      <c r="Y22" s="56"/>
      <c r="Z22" s="56"/>
      <c r="AA22" s="53">
        <f t="shared" si="1"/>
        <v>1</v>
      </c>
      <c r="AB22" s="208">
        <v>1</v>
      </c>
      <c r="AC22" s="17" t="s">
        <v>134</v>
      </c>
    </row>
    <row r="23" spans="1:29" x14ac:dyDescent="0.25">
      <c r="A23" s="54" t="s">
        <v>33</v>
      </c>
      <c r="B23" s="54" t="str">
        <f t="shared" si="0"/>
        <v>Retención</v>
      </c>
      <c r="C23" s="54" t="s">
        <v>119</v>
      </c>
      <c r="D23" s="54" t="s">
        <v>125</v>
      </c>
      <c r="E23" s="54"/>
      <c r="F23" s="54"/>
      <c r="G23" s="54"/>
      <c r="H23" s="54"/>
      <c r="I23" s="55">
        <v>1</v>
      </c>
      <c r="J23" s="55"/>
      <c r="K23" s="55"/>
      <c r="L23" s="55">
        <v>1</v>
      </c>
      <c r="M23" s="55"/>
      <c r="N23" s="55"/>
      <c r="O23" s="55"/>
      <c r="P23" s="55"/>
      <c r="Q23" s="55"/>
      <c r="R23" s="56">
        <v>1</v>
      </c>
      <c r="S23" s="56"/>
      <c r="T23" s="56"/>
      <c r="U23" s="56"/>
      <c r="V23" s="56"/>
      <c r="W23" s="56">
        <v>1</v>
      </c>
      <c r="X23" s="56">
        <v>1</v>
      </c>
      <c r="Y23" s="56"/>
      <c r="Z23" s="56"/>
      <c r="AA23" s="53">
        <f t="shared" si="1"/>
        <v>1</v>
      </c>
      <c r="AB23" s="207">
        <v>1</v>
      </c>
      <c r="AC23" s="17" t="s">
        <v>134</v>
      </c>
    </row>
    <row r="24" spans="1:29" x14ac:dyDescent="0.25">
      <c r="A24" s="54" t="s">
        <v>34</v>
      </c>
      <c r="B24" s="54" t="str">
        <f t="shared" si="0"/>
        <v>Retención</v>
      </c>
      <c r="C24" s="54" t="s">
        <v>122</v>
      </c>
      <c r="D24" s="54" t="s">
        <v>124</v>
      </c>
      <c r="E24" s="54"/>
      <c r="F24" s="54"/>
      <c r="G24" s="54"/>
      <c r="H24" s="54"/>
      <c r="I24" s="55">
        <v>1</v>
      </c>
      <c r="J24" s="55"/>
      <c r="K24" s="55"/>
      <c r="L24" s="55">
        <v>1</v>
      </c>
      <c r="M24" s="55"/>
      <c r="N24" s="55"/>
      <c r="O24" s="55"/>
      <c r="P24" s="55"/>
      <c r="Q24" s="55"/>
      <c r="R24" s="56">
        <v>1</v>
      </c>
      <c r="S24" s="56"/>
      <c r="T24" s="56"/>
      <c r="U24" s="56"/>
      <c r="V24" s="56"/>
      <c r="W24" s="56">
        <v>1</v>
      </c>
      <c r="X24" s="56">
        <v>1</v>
      </c>
      <c r="Y24" s="56"/>
      <c r="Z24" s="56"/>
      <c r="AA24" s="53">
        <f t="shared" si="1"/>
        <v>1</v>
      </c>
      <c r="AB24" s="21">
        <v>1</v>
      </c>
      <c r="AC24" s="17" t="s">
        <v>135</v>
      </c>
    </row>
    <row r="25" spans="1:29" x14ac:dyDescent="0.25">
      <c r="A25" s="54" t="s">
        <v>35</v>
      </c>
      <c r="B25" s="54" t="str">
        <f t="shared" si="0"/>
        <v>Retención</v>
      </c>
      <c r="C25" s="54" t="s">
        <v>119</v>
      </c>
      <c r="D25" s="54" t="s">
        <v>124</v>
      </c>
      <c r="E25" s="54"/>
      <c r="F25" s="54"/>
      <c r="G25" s="54"/>
      <c r="H25" s="54"/>
      <c r="I25" s="55">
        <v>1</v>
      </c>
      <c r="J25" s="55"/>
      <c r="K25" s="55"/>
      <c r="L25" s="55">
        <v>1</v>
      </c>
      <c r="M25" s="55"/>
      <c r="N25" s="55"/>
      <c r="O25" s="55"/>
      <c r="P25" s="55"/>
      <c r="Q25" s="55"/>
      <c r="R25" s="56">
        <v>1</v>
      </c>
      <c r="S25" s="56"/>
      <c r="T25" s="56"/>
      <c r="U25" s="56"/>
      <c r="V25" s="56"/>
      <c r="W25" s="56">
        <v>1</v>
      </c>
      <c r="X25" s="56">
        <v>1</v>
      </c>
      <c r="Y25" s="56"/>
      <c r="Z25" s="56"/>
      <c r="AA25" s="53">
        <f t="shared" si="1"/>
        <v>1</v>
      </c>
      <c r="AB25" s="207">
        <v>1</v>
      </c>
      <c r="AC25" s="17" t="s">
        <v>134</v>
      </c>
    </row>
    <row r="26" spans="1:29" x14ac:dyDescent="0.25">
      <c r="A26" s="54" t="s">
        <v>36</v>
      </c>
      <c r="B26" s="54" t="str">
        <f t="shared" si="0"/>
        <v>Retención</v>
      </c>
      <c r="C26" s="54" t="s">
        <v>119</v>
      </c>
      <c r="D26" s="54" t="s">
        <v>124</v>
      </c>
      <c r="E26" s="54"/>
      <c r="F26" s="54"/>
      <c r="G26" s="54"/>
      <c r="H26" s="54"/>
      <c r="I26" s="55">
        <v>1</v>
      </c>
      <c r="J26" s="55"/>
      <c r="K26" s="55"/>
      <c r="L26" s="55">
        <v>1</v>
      </c>
      <c r="M26" s="55"/>
      <c r="N26" s="55"/>
      <c r="O26" s="55"/>
      <c r="P26" s="55"/>
      <c r="Q26" s="55"/>
      <c r="R26" s="56">
        <v>1</v>
      </c>
      <c r="S26" s="56"/>
      <c r="T26" s="56"/>
      <c r="U26" s="56"/>
      <c r="V26" s="56"/>
      <c r="W26" s="56">
        <v>1</v>
      </c>
      <c r="X26" s="56">
        <v>1</v>
      </c>
      <c r="Y26" s="56"/>
      <c r="Z26" s="56"/>
      <c r="AA26" s="53">
        <f t="shared" si="1"/>
        <v>1</v>
      </c>
      <c r="AB26" s="206">
        <v>1</v>
      </c>
      <c r="AC26" s="17" t="s">
        <v>134</v>
      </c>
    </row>
    <row r="27" spans="1:29" x14ac:dyDescent="0.25">
      <c r="A27" s="54" t="s">
        <v>37</v>
      </c>
      <c r="B27" s="54" t="str">
        <f t="shared" si="0"/>
        <v>Retención</v>
      </c>
      <c r="C27" s="54" t="s">
        <v>119</v>
      </c>
      <c r="D27" s="54" t="s">
        <v>123</v>
      </c>
      <c r="E27" s="54"/>
      <c r="F27" s="54"/>
      <c r="G27" s="54"/>
      <c r="H27" s="54"/>
      <c r="I27" s="55">
        <v>1</v>
      </c>
      <c r="J27" s="55"/>
      <c r="K27" s="55"/>
      <c r="L27" s="55">
        <v>1</v>
      </c>
      <c r="M27" s="55"/>
      <c r="N27" s="55"/>
      <c r="O27" s="55"/>
      <c r="P27" s="55"/>
      <c r="Q27" s="55"/>
      <c r="R27" s="56">
        <v>1</v>
      </c>
      <c r="S27" s="56"/>
      <c r="T27" s="56"/>
      <c r="U27" s="56"/>
      <c r="V27" s="56"/>
      <c r="W27" s="56">
        <v>1</v>
      </c>
      <c r="X27" s="56">
        <v>1</v>
      </c>
      <c r="Y27" s="56"/>
      <c r="Z27" s="56"/>
      <c r="AA27" s="53">
        <f t="shared" si="1"/>
        <v>1</v>
      </c>
      <c r="AB27" s="206">
        <v>1</v>
      </c>
      <c r="AC27" s="17" t="s">
        <v>134</v>
      </c>
    </row>
    <row r="28" spans="1:29" x14ac:dyDescent="0.25">
      <c r="A28" s="54" t="s">
        <v>38</v>
      </c>
      <c r="B28" s="54" t="str">
        <f t="shared" si="0"/>
        <v>Suspensión</v>
      </c>
      <c r="C28" s="54" t="s">
        <v>126</v>
      </c>
      <c r="D28" s="54" t="s">
        <v>118</v>
      </c>
      <c r="E28" s="54"/>
      <c r="F28" s="54"/>
      <c r="G28" s="54"/>
      <c r="H28" s="54"/>
      <c r="I28" s="55">
        <v>1</v>
      </c>
      <c r="J28" s="55"/>
      <c r="K28" s="55"/>
      <c r="L28" s="55">
        <v>1</v>
      </c>
      <c r="M28" s="55"/>
      <c r="N28" s="55"/>
      <c r="O28" s="55"/>
      <c r="P28" s="55"/>
      <c r="Q28" s="55"/>
      <c r="R28" s="56">
        <v>1</v>
      </c>
      <c r="S28" s="56"/>
      <c r="T28" s="56"/>
      <c r="U28" s="56"/>
      <c r="V28" s="56"/>
      <c r="W28" s="56">
        <v>1</v>
      </c>
      <c r="X28" s="56">
        <v>1</v>
      </c>
      <c r="Y28" s="56"/>
      <c r="Z28" s="56"/>
      <c r="AA28" s="53">
        <f t="shared" si="1"/>
        <v>1</v>
      </c>
      <c r="AB28" s="21">
        <v>1</v>
      </c>
      <c r="AC28" s="17" t="s">
        <v>134</v>
      </c>
    </row>
    <row r="29" spans="1:29" x14ac:dyDescent="0.25">
      <c r="A29" s="54" t="s">
        <v>39</v>
      </c>
      <c r="B29" s="54" t="str">
        <f t="shared" si="0"/>
        <v>Retención</v>
      </c>
      <c r="C29" s="54" t="s">
        <v>119</v>
      </c>
      <c r="D29" s="54" t="s">
        <v>121</v>
      </c>
      <c r="E29" s="54"/>
      <c r="F29" s="54"/>
      <c r="G29" s="54"/>
      <c r="H29" s="54"/>
      <c r="I29" s="55">
        <v>1</v>
      </c>
      <c r="J29" s="55"/>
      <c r="K29" s="55"/>
      <c r="L29" s="55">
        <v>1</v>
      </c>
      <c r="M29" s="55"/>
      <c r="N29" s="55"/>
      <c r="O29" s="55"/>
      <c r="P29" s="55"/>
      <c r="Q29" s="55"/>
      <c r="R29" s="56">
        <v>1</v>
      </c>
      <c r="S29" s="56"/>
      <c r="T29" s="56"/>
      <c r="U29" s="56"/>
      <c r="V29" s="56"/>
      <c r="W29" s="56">
        <v>1</v>
      </c>
      <c r="X29" s="56">
        <v>1</v>
      </c>
      <c r="Y29" s="56"/>
      <c r="Z29" s="56"/>
      <c r="AA29" s="53">
        <f t="shared" si="1"/>
        <v>1</v>
      </c>
      <c r="AB29" s="21">
        <v>1</v>
      </c>
      <c r="AC29" s="17" t="s">
        <v>135</v>
      </c>
    </row>
    <row r="30" spans="1:29" x14ac:dyDescent="0.25">
      <c r="A30" s="54" t="s">
        <v>40</v>
      </c>
      <c r="B30" s="54" t="str">
        <f t="shared" si="0"/>
        <v>Retención</v>
      </c>
      <c r="C30" s="54" t="s">
        <v>122</v>
      </c>
      <c r="D30" s="54" t="s">
        <v>120</v>
      </c>
      <c r="E30" s="54"/>
      <c r="F30" s="54"/>
      <c r="G30" s="54"/>
      <c r="H30" s="54"/>
      <c r="I30" s="55">
        <v>1</v>
      </c>
      <c r="J30" s="55"/>
      <c r="K30" s="55"/>
      <c r="L30" s="55">
        <v>1</v>
      </c>
      <c r="M30" s="55"/>
      <c r="N30" s="55"/>
      <c r="O30" s="55"/>
      <c r="P30" s="55"/>
      <c r="Q30" s="55"/>
      <c r="R30" s="56">
        <v>1</v>
      </c>
      <c r="S30" s="56"/>
      <c r="T30" s="56"/>
      <c r="U30" s="56"/>
      <c r="V30" s="56"/>
      <c r="W30" s="56">
        <v>1</v>
      </c>
      <c r="X30" s="56">
        <v>1</v>
      </c>
      <c r="Y30" s="56"/>
      <c r="Z30" s="56"/>
      <c r="AA30" s="53">
        <f t="shared" si="1"/>
        <v>1</v>
      </c>
      <c r="AB30" s="21">
        <v>1</v>
      </c>
      <c r="AC30" s="17" t="s">
        <v>135</v>
      </c>
    </row>
    <row r="31" spans="1:29" x14ac:dyDescent="0.25">
      <c r="A31" s="54" t="s">
        <v>41</v>
      </c>
      <c r="B31" s="54" t="str">
        <f t="shared" si="0"/>
        <v>Retención</v>
      </c>
      <c r="C31" s="54" t="s">
        <v>119</v>
      </c>
      <c r="D31" s="54" t="s">
        <v>124</v>
      </c>
      <c r="E31" s="54"/>
      <c r="F31" s="54"/>
      <c r="G31" s="54"/>
      <c r="H31" s="54"/>
      <c r="I31" s="55">
        <v>1</v>
      </c>
      <c r="J31" s="55"/>
      <c r="K31" s="55"/>
      <c r="L31" s="55">
        <v>1</v>
      </c>
      <c r="M31" s="55"/>
      <c r="N31" s="55"/>
      <c r="O31" s="55"/>
      <c r="P31" s="55"/>
      <c r="Q31" s="55"/>
      <c r="R31" s="56">
        <v>1</v>
      </c>
      <c r="S31" s="56"/>
      <c r="T31" s="56"/>
      <c r="U31" s="56"/>
      <c r="V31" s="56"/>
      <c r="W31" s="56">
        <v>1</v>
      </c>
      <c r="X31" s="56">
        <v>1</v>
      </c>
      <c r="Y31" s="56"/>
      <c r="Z31" s="56"/>
      <c r="AA31" s="53">
        <f t="shared" si="1"/>
        <v>1</v>
      </c>
      <c r="AB31" s="21">
        <v>1</v>
      </c>
      <c r="AC31" s="17" t="s">
        <v>135</v>
      </c>
    </row>
    <row r="32" spans="1:29" x14ac:dyDescent="0.25">
      <c r="A32" s="54" t="s">
        <v>42</v>
      </c>
      <c r="B32" s="54" t="str">
        <f t="shared" si="0"/>
        <v>Suspensión</v>
      </c>
      <c r="C32" s="54" t="s">
        <v>126</v>
      </c>
      <c r="D32" s="54" t="s">
        <v>124</v>
      </c>
      <c r="E32" s="54"/>
      <c r="F32" s="54"/>
      <c r="G32" s="54"/>
      <c r="H32" s="54"/>
      <c r="I32" s="55">
        <v>1</v>
      </c>
      <c r="J32" s="55"/>
      <c r="K32" s="55"/>
      <c r="L32" s="55">
        <v>1</v>
      </c>
      <c r="M32" s="55"/>
      <c r="N32" s="55"/>
      <c r="O32" s="55"/>
      <c r="P32" s="55"/>
      <c r="Q32" s="55"/>
      <c r="R32" s="56">
        <v>1</v>
      </c>
      <c r="S32" s="56"/>
      <c r="T32" s="56"/>
      <c r="U32" s="56"/>
      <c r="V32" s="56"/>
      <c r="W32" s="56">
        <v>1</v>
      </c>
      <c r="X32" s="56">
        <v>1</v>
      </c>
      <c r="Y32" s="56"/>
      <c r="Z32" s="56"/>
      <c r="AA32" s="53">
        <f t="shared" si="1"/>
        <v>1</v>
      </c>
      <c r="AB32" s="21">
        <v>1</v>
      </c>
      <c r="AC32" s="17" t="s">
        <v>134</v>
      </c>
    </row>
    <row r="33" spans="1:29" x14ac:dyDescent="0.25">
      <c r="A33" s="54" t="s">
        <v>43</v>
      </c>
      <c r="B33" s="54" t="str">
        <f t="shared" si="0"/>
        <v>Suspensión</v>
      </c>
      <c r="C33" s="54" t="s">
        <v>126</v>
      </c>
      <c r="D33" s="54" t="s">
        <v>118</v>
      </c>
      <c r="E33" s="54"/>
      <c r="F33" s="54"/>
      <c r="G33" s="54"/>
      <c r="H33" s="54"/>
      <c r="I33" s="55">
        <v>1</v>
      </c>
      <c r="J33" s="55"/>
      <c r="K33" s="55"/>
      <c r="L33" s="55">
        <v>1</v>
      </c>
      <c r="M33" s="55"/>
      <c r="N33" s="55"/>
      <c r="O33" s="55"/>
      <c r="P33" s="55"/>
      <c r="Q33" s="55"/>
      <c r="R33" s="56">
        <v>1</v>
      </c>
      <c r="S33" s="56"/>
      <c r="T33" s="56"/>
      <c r="U33" s="56"/>
      <c r="V33" s="56"/>
      <c r="W33" s="56">
        <v>1</v>
      </c>
      <c r="X33" s="56">
        <v>1</v>
      </c>
      <c r="Y33" s="56"/>
      <c r="Z33" s="56"/>
      <c r="AA33" s="53">
        <f t="shared" si="1"/>
        <v>1</v>
      </c>
      <c r="AB33" s="207">
        <v>1</v>
      </c>
      <c r="AC33" s="17" t="s">
        <v>134</v>
      </c>
    </row>
    <row r="34" spans="1:29" x14ac:dyDescent="0.25">
      <c r="A34" s="54" t="s">
        <v>44</v>
      </c>
      <c r="B34" s="54" t="str">
        <f t="shared" si="0"/>
        <v>Retención</v>
      </c>
      <c r="C34" s="54" t="s">
        <v>119</v>
      </c>
      <c r="D34" s="54" t="s">
        <v>118</v>
      </c>
      <c r="E34" s="54"/>
      <c r="F34" s="54"/>
      <c r="G34" s="54"/>
      <c r="H34" s="54"/>
      <c r="I34" s="55">
        <v>1</v>
      </c>
      <c r="J34" s="55"/>
      <c r="K34" s="55"/>
      <c r="L34" s="55">
        <v>1</v>
      </c>
      <c r="M34" s="55"/>
      <c r="N34" s="55"/>
      <c r="O34" s="55"/>
      <c r="P34" s="55"/>
      <c r="Q34" s="55"/>
      <c r="R34" s="56">
        <v>1</v>
      </c>
      <c r="S34" s="56"/>
      <c r="T34" s="56"/>
      <c r="U34" s="56"/>
      <c r="V34" s="56"/>
      <c r="W34" s="56">
        <v>1</v>
      </c>
      <c r="X34" s="56">
        <v>1</v>
      </c>
      <c r="Y34" s="56"/>
      <c r="Z34" s="56"/>
      <c r="AA34" s="53">
        <f t="shared" si="1"/>
        <v>1</v>
      </c>
      <c r="AB34" s="207">
        <v>1</v>
      </c>
      <c r="AC34" s="17" t="s">
        <v>135</v>
      </c>
    </row>
    <row r="35" spans="1:29" x14ac:dyDescent="0.25">
      <c r="A35" s="54" t="s">
        <v>45</v>
      </c>
      <c r="B35" s="54" t="str">
        <f t="shared" si="0"/>
        <v>Retención</v>
      </c>
      <c r="C35" s="54" t="s">
        <v>119</v>
      </c>
      <c r="D35" s="54" t="s">
        <v>120</v>
      </c>
      <c r="E35" s="54"/>
      <c r="F35" s="54"/>
      <c r="G35" s="54"/>
      <c r="H35" s="54"/>
      <c r="I35" s="55">
        <v>1</v>
      </c>
      <c r="J35" s="55"/>
      <c r="K35" s="55"/>
      <c r="L35" s="55">
        <v>1</v>
      </c>
      <c r="M35" s="55"/>
      <c r="N35" s="55"/>
      <c r="O35" s="55"/>
      <c r="P35" s="55"/>
      <c r="Q35" s="55"/>
      <c r="R35" s="56">
        <v>1</v>
      </c>
      <c r="S35" s="56"/>
      <c r="T35" s="56"/>
      <c r="U35" s="56"/>
      <c r="V35" s="56"/>
      <c r="W35" s="56">
        <v>1</v>
      </c>
      <c r="X35" s="56">
        <v>1</v>
      </c>
      <c r="Y35" s="56"/>
      <c r="Z35" s="56"/>
      <c r="AA35" s="53">
        <f t="shared" ref="AA35:AA66" si="2">SUMPRODUCT($I$2:$W$2,I35:W35)</f>
        <v>1</v>
      </c>
      <c r="AB35" s="31">
        <v>1</v>
      </c>
      <c r="AC35" s="17" t="s">
        <v>135</v>
      </c>
    </row>
    <row r="36" spans="1:29" x14ac:dyDescent="0.25">
      <c r="A36" s="54" t="s">
        <v>46</v>
      </c>
      <c r="B36" s="54" t="str">
        <f t="shared" si="0"/>
        <v>Retención</v>
      </c>
      <c r="C36" s="54" t="s">
        <v>119</v>
      </c>
      <c r="D36" s="54" t="s">
        <v>120</v>
      </c>
      <c r="E36" s="54"/>
      <c r="F36" s="54"/>
      <c r="G36" s="54"/>
      <c r="H36" s="54"/>
      <c r="I36" s="55">
        <v>1</v>
      </c>
      <c r="J36" s="55"/>
      <c r="K36" s="55"/>
      <c r="L36" s="55">
        <v>1</v>
      </c>
      <c r="M36" s="55"/>
      <c r="N36" s="55"/>
      <c r="O36" s="55"/>
      <c r="P36" s="55"/>
      <c r="Q36" s="55"/>
      <c r="R36" s="56">
        <v>1</v>
      </c>
      <c r="S36" s="56"/>
      <c r="T36" s="56"/>
      <c r="U36" s="56"/>
      <c r="V36" s="56"/>
      <c r="W36" s="56">
        <v>1</v>
      </c>
      <c r="X36" s="56">
        <v>1</v>
      </c>
      <c r="Y36" s="56"/>
      <c r="Z36" s="56"/>
      <c r="AA36" s="53">
        <f t="shared" si="2"/>
        <v>1</v>
      </c>
      <c r="AB36" s="21">
        <v>1</v>
      </c>
      <c r="AC36" s="17" t="s">
        <v>135</v>
      </c>
    </row>
    <row r="37" spans="1:29" x14ac:dyDescent="0.25">
      <c r="A37" s="54" t="s">
        <v>47</v>
      </c>
      <c r="B37" s="54" t="str">
        <f t="shared" si="0"/>
        <v>Retención</v>
      </c>
      <c r="C37" s="54" t="s">
        <v>117</v>
      </c>
      <c r="D37" s="54" t="s">
        <v>125</v>
      </c>
      <c r="E37" s="54"/>
      <c r="F37" s="54"/>
      <c r="G37" s="54"/>
      <c r="H37" s="54"/>
      <c r="I37" s="55">
        <v>1</v>
      </c>
      <c r="J37" s="55"/>
      <c r="K37" s="55"/>
      <c r="L37" s="55">
        <v>1</v>
      </c>
      <c r="M37" s="55"/>
      <c r="N37" s="55"/>
      <c r="O37" s="55"/>
      <c r="P37" s="55"/>
      <c r="Q37" s="55"/>
      <c r="R37" s="56">
        <v>1</v>
      </c>
      <c r="S37" s="56"/>
      <c r="T37" s="56"/>
      <c r="U37" s="56"/>
      <c r="V37" s="56"/>
      <c r="W37" s="56">
        <v>1</v>
      </c>
      <c r="X37" s="56">
        <v>1</v>
      </c>
      <c r="Y37" s="56"/>
      <c r="Z37" s="56"/>
      <c r="AA37" s="53">
        <f t="shared" si="2"/>
        <v>1</v>
      </c>
      <c r="AB37" s="21">
        <v>1</v>
      </c>
      <c r="AC37" s="17" t="s">
        <v>135</v>
      </c>
    </row>
    <row r="38" spans="1:29" x14ac:dyDescent="0.25">
      <c r="A38" s="54" t="s">
        <v>48</v>
      </c>
      <c r="B38" s="54" t="str">
        <f t="shared" si="0"/>
        <v>Retención</v>
      </c>
      <c r="C38" s="54" t="s">
        <v>122</v>
      </c>
      <c r="D38" s="54" t="s">
        <v>125</v>
      </c>
      <c r="E38" s="54"/>
      <c r="F38" s="54"/>
      <c r="G38" s="54"/>
      <c r="H38" s="54"/>
      <c r="I38" s="55">
        <v>1</v>
      </c>
      <c r="J38" s="55"/>
      <c r="K38" s="55"/>
      <c r="L38" s="55">
        <v>1</v>
      </c>
      <c r="M38" s="55"/>
      <c r="N38" s="55"/>
      <c r="O38" s="55"/>
      <c r="P38" s="55"/>
      <c r="Q38" s="55"/>
      <c r="R38" s="56">
        <v>1</v>
      </c>
      <c r="S38" s="56"/>
      <c r="T38" s="56"/>
      <c r="U38" s="56"/>
      <c r="V38" s="56"/>
      <c r="W38" s="56">
        <v>1</v>
      </c>
      <c r="X38" s="56">
        <v>1</v>
      </c>
      <c r="Y38" s="56"/>
      <c r="Z38" s="56"/>
      <c r="AA38" s="53">
        <f t="shared" si="2"/>
        <v>1</v>
      </c>
      <c r="AB38" s="207">
        <v>1</v>
      </c>
      <c r="AC38" s="17" t="s">
        <v>135</v>
      </c>
    </row>
    <row r="39" spans="1:29" x14ac:dyDescent="0.25">
      <c r="A39" s="54" t="s">
        <v>49</v>
      </c>
      <c r="B39" s="54" t="str">
        <f t="shared" si="0"/>
        <v>Suspensión</v>
      </c>
      <c r="C39" s="54" t="s">
        <v>126</v>
      </c>
      <c r="D39" s="54" t="s">
        <v>123</v>
      </c>
      <c r="E39" s="54"/>
      <c r="F39" s="54"/>
      <c r="G39" s="54"/>
      <c r="H39" s="54"/>
      <c r="I39" s="55">
        <v>1</v>
      </c>
      <c r="J39" s="55"/>
      <c r="K39" s="55"/>
      <c r="L39" s="55">
        <v>1</v>
      </c>
      <c r="M39" s="55"/>
      <c r="N39" s="55"/>
      <c r="O39" s="55"/>
      <c r="P39" s="55"/>
      <c r="Q39" s="55"/>
      <c r="R39" s="56">
        <v>1</v>
      </c>
      <c r="S39" s="56"/>
      <c r="T39" s="56"/>
      <c r="U39" s="56"/>
      <c r="V39" s="56"/>
      <c r="W39" s="56">
        <v>1</v>
      </c>
      <c r="X39" s="56">
        <v>1</v>
      </c>
      <c r="Y39" s="56"/>
      <c r="Z39" s="56"/>
      <c r="AA39" s="53">
        <f t="shared" si="2"/>
        <v>1</v>
      </c>
      <c r="AB39" s="21">
        <v>1</v>
      </c>
      <c r="AC39" s="17" t="s">
        <v>134</v>
      </c>
    </row>
    <row r="40" spans="1:29" x14ac:dyDescent="0.25">
      <c r="A40" s="54" t="s">
        <v>50</v>
      </c>
      <c r="B40" s="54" t="str">
        <f t="shared" si="0"/>
        <v>Suspensión</v>
      </c>
      <c r="C40" s="54" t="s">
        <v>126</v>
      </c>
      <c r="D40" s="54" t="s">
        <v>123</v>
      </c>
      <c r="E40" s="54"/>
      <c r="F40" s="54"/>
      <c r="G40" s="54"/>
      <c r="H40" s="54"/>
      <c r="I40" s="55">
        <v>1</v>
      </c>
      <c r="J40" s="55"/>
      <c r="K40" s="55"/>
      <c r="L40" s="55">
        <v>1</v>
      </c>
      <c r="M40" s="55"/>
      <c r="N40" s="55"/>
      <c r="O40" s="55"/>
      <c r="P40" s="55"/>
      <c r="Q40" s="55"/>
      <c r="R40" s="56">
        <v>1</v>
      </c>
      <c r="S40" s="56"/>
      <c r="T40" s="56"/>
      <c r="U40" s="56"/>
      <c r="V40" s="56"/>
      <c r="W40" s="56">
        <v>1</v>
      </c>
      <c r="X40" s="56">
        <v>1</v>
      </c>
      <c r="Y40" s="56"/>
      <c r="Z40" s="56"/>
      <c r="AA40" s="53">
        <f t="shared" si="2"/>
        <v>1</v>
      </c>
      <c r="AB40" s="21">
        <v>1</v>
      </c>
      <c r="AC40" s="17" t="s">
        <v>135</v>
      </c>
    </row>
    <row r="41" spans="1:29" x14ac:dyDescent="0.25">
      <c r="A41" s="54" t="s">
        <v>51</v>
      </c>
      <c r="B41" s="54" t="str">
        <f t="shared" si="0"/>
        <v>Suspensión</v>
      </c>
      <c r="C41" s="54" t="s">
        <v>126</v>
      </c>
      <c r="D41" s="54" t="s">
        <v>120</v>
      </c>
      <c r="E41" s="54"/>
      <c r="F41" s="54"/>
      <c r="G41" s="54"/>
      <c r="H41" s="54"/>
      <c r="I41" s="55">
        <v>1</v>
      </c>
      <c r="J41" s="55"/>
      <c r="K41" s="55"/>
      <c r="L41" s="55">
        <v>1</v>
      </c>
      <c r="M41" s="55"/>
      <c r="N41" s="55"/>
      <c r="O41" s="55"/>
      <c r="P41" s="55"/>
      <c r="Q41" s="55"/>
      <c r="R41" s="56">
        <v>1</v>
      </c>
      <c r="S41" s="56"/>
      <c r="T41" s="56"/>
      <c r="U41" s="56"/>
      <c r="V41" s="56"/>
      <c r="W41" s="56">
        <v>1</v>
      </c>
      <c r="X41" s="56">
        <v>1</v>
      </c>
      <c r="Y41" s="56"/>
      <c r="Z41" s="56"/>
      <c r="AA41" s="53">
        <f t="shared" si="2"/>
        <v>1</v>
      </c>
      <c r="AB41" s="21">
        <v>1</v>
      </c>
      <c r="AC41" s="17" t="s">
        <v>135</v>
      </c>
    </row>
    <row r="42" spans="1:29" x14ac:dyDescent="0.25">
      <c r="A42" s="54" t="s">
        <v>52</v>
      </c>
      <c r="B42" s="54" t="str">
        <f t="shared" si="0"/>
        <v>Suspensión</v>
      </c>
      <c r="C42" s="54" t="s">
        <v>126</v>
      </c>
      <c r="D42" s="54" t="s">
        <v>120</v>
      </c>
      <c r="E42" s="54"/>
      <c r="F42" s="54"/>
      <c r="G42" s="54"/>
      <c r="H42" s="54"/>
      <c r="I42" s="55">
        <v>1</v>
      </c>
      <c r="J42" s="55"/>
      <c r="K42" s="55"/>
      <c r="L42" s="55">
        <v>1</v>
      </c>
      <c r="M42" s="55"/>
      <c r="N42" s="55"/>
      <c r="O42" s="55"/>
      <c r="P42" s="55"/>
      <c r="Q42" s="55"/>
      <c r="R42" s="56">
        <v>1</v>
      </c>
      <c r="S42" s="56"/>
      <c r="T42" s="56"/>
      <c r="U42" s="56"/>
      <c r="V42" s="56"/>
      <c r="W42" s="56">
        <v>1</v>
      </c>
      <c r="X42" s="56">
        <v>1</v>
      </c>
      <c r="Y42" s="56"/>
      <c r="Z42" s="56"/>
      <c r="AA42" s="53">
        <f t="shared" si="2"/>
        <v>1</v>
      </c>
      <c r="AB42" s="21">
        <v>1</v>
      </c>
      <c r="AC42" s="17" t="s">
        <v>135</v>
      </c>
    </row>
    <row r="43" spans="1:29" x14ac:dyDescent="0.25">
      <c r="A43" s="54" t="s">
        <v>53</v>
      </c>
      <c r="B43" s="54" t="str">
        <f t="shared" si="0"/>
        <v>Suspensión</v>
      </c>
      <c r="C43" s="54" t="s">
        <v>126</v>
      </c>
      <c r="D43" s="54" t="s">
        <v>123</v>
      </c>
      <c r="E43" s="54"/>
      <c r="F43" s="54"/>
      <c r="G43" s="54"/>
      <c r="H43" s="54"/>
      <c r="I43" s="55">
        <v>1</v>
      </c>
      <c r="J43" s="55"/>
      <c r="K43" s="55"/>
      <c r="L43" s="55">
        <v>1</v>
      </c>
      <c r="M43" s="55"/>
      <c r="N43" s="55"/>
      <c r="O43" s="55"/>
      <c r="P43" s="55"/>
      <c r="Q43" s="55"/>
      <c r="R43" s="56">
        <v>1</v>
      </c>
      <c r="S43" s="56"/>
      <c r="T43" s="56"/>
      <c r="U43" s="56"/>
      <c r="V43" s="56"/>
      <c r="W43" s="56">
        <v>1</v>
      </c>
      <c r="X43" s="56">
        <v>1</v>
      </c>
      <c r="Y43" s="56"/>
      <c r="Z43" s="56"/>
      <c r="AA43" s="53">
        <f t="shared" si="2"/>
        <v>1</v>
      </c>
      <c r="AB43" s="21">
        <v>1</v>
      </c>
      <c r="AC43" s="17"/>
    </row>
    <row r="44" spans="1:29" x14ac:dyDescent="0.25">
      <c r="A44" s="54" t="s">
        <v>54</v>
      </c>
      <c r="B44" s="54" t="str">
        <f t="shared" si="0"/>
        <v>Retención</v>
      </c>
      <c r="C44" s="54" t="s">
        <v>117</v>
      </c>
      <c r="D44" s="54" t="s">
        <v>121</v>
      </c>
      <c r="E44" s="54"/>
      <c r="F44" s="54"/>
      <c r="G44" s="54"/>
      <c r="H44" s="54"/>
      <c r="I44" s="55">
        <v>1</v>
      </c>
      <c r="J44" s="55"/>
      <c r="K44" s="55"/>
      <c r="L44" s="55">
        <v>1</v>
      </c>
      <c r="M44" s="55"/>
      <c r="N44" s="55"/>
      <c r="O44" s="55"/>
      <c r="P44" s="55"/>
      <c r="Q44" s="55"/>
      <c r="R44" s="56">
        <v>1</v>
      </c>
      <c r="S44" s="56"/>
      <c r="T44" s="56"/>
      <c r="U44" s="56"/>
      <c r="V44" s="56"/>
      <c r="W44" s="56">
        <v>1</v>
      </c>
      <c r="X44" s="56">
        <v>1</v>
      </c>
      <c r="Y44" s="56"/>
      <c r="Z44" s="56"/>
      <c r="AA44" s="53">
        <f t="shared" si="2"/>
        <v>1</v>
      </c>
      <c r="AB44" s="21">
        <v>1</v>
      </c>
      <c r="AC44" s="17"/>
    </row>
    <row r="45" spans="1:29" x14ac:dyDescent="0.25">
      <c r="A45" s="54" t="s">
        <v>55</v>
      </c>
      <c r="B45" s="54" t="str">
        <f t="shared" si="0"/>
        <v>Retención</v>
      </c>
      <c r="C45" s="54" t="s">
        <v>117</v>
      </c>
      <c r="D45" s="54" t="s">
        <v>121</v>
      </c>
      <c r="E45" s="54"/>
      <c r="F45" s="54"/>
      <c r="G45" s="54"/>
      <c r="H45" s="54"/>
      <c r="I45" s="55">
        <v>1</v>
      </c>
      <c r="J45" s="55"/>
      <c r="K45" s="55"/>
      <c r="L45" s="55">
        <v>1</v>
      </c>
      <c r="M45" s="55"/>
      <c r="N45" s="55"/>
      <c r="O45" s="55"/>
      <c r="P45" s="55"/>
      <c r="Q45" s="55"/>
      <c r="R45" s="56">
        <v>1</v>
      </c>
      <c r="S45" s="56"/>
      <c r="T45" s="56"/>
      <c r="U45" s="56"/>
      <c r="V45" s="56"/>
      <c r="W45" s="56">
        <v>1</v>
      </c>
      <c r="X45" s="56">
        <v>1</v>
      </c>
      <c r="Y45" s="56"/>
      <c r="Z45" s="56"/>
      <c r="AA45" s="53">
        <f t="shared" si="2"/>
        <v>1</v>
      </c>
      <c r="AB45" s="21">
        <v>1</v>
      </c>
      <c r="AC45" s="17" t="s">
        <v>134</v>
      </c>
    </row>
    <row r="46" spans="1:29" x14ac:dyDescent="0.25">
      <c r="A46" s="54" t="s">
        <v>56</v>
      </c>
      <c r="B46" s="54" t="str">
        <f t="shared" si="0"/>
        <v>Retención</v>
      </c>
      <c r="C46" s="54" t="s">
        <v>119</v>
      </c>
      <c r="D46" s="54" t="s">
        <v>124</v>
      </c>
      <c r="E46" s="54"/>
      <c r="F46" s="54"/>
      <c r="G46" s="54"/>
      <c r="H46" s="54"/>
      <c r="I46" s="55">
        <v>1</v>
      </c>
      <c r="J46" s="55"/>
      <c r="K46" s="55"/>
      <c r="L46" s="55">
        <v>1</v>
      </c>
      <c r="M46" s="55"/>
      <c r="N46" s="55"/>
      <c r="O46" s="55"/>
      <c r="P46" s="55"/>
      <c r="Q46" s="55"/>
      <c r="R46" s="56">
        <v>1</v>
      </c>
      <c r="S46" s="56"/>
      <c r="T46" s="56"/>
      <c r="U46" s="56"/>
      <c r="V46" s="56"/>
      <c r="W46" s="56">
        <v>1</v>
      </c>
      <c r="X46" s="56">
        <v>1</v>
      </c>
      <c r="Y46" s="56"/>
      <c r="Z46" s="56"/>
      <c r="AA46" s="53">
        <f t="shared" si="2"/>
        <v>1</v>
      </c>
      <c r="AB46" s="21">
        <v>1</v>
      </c>
      <c r="AC46" s="17" t="s">
        <v>134</v>
      </c>
    </row>
    <row r="47" spans="1:29" x14ac:dyDescent="0.25">
      <c r="A47" s="54" t="s">
        <v>57</v>
      </c>
      <c r="B47" s="54" t="str">
        <f t="shared" si="0"/>
        <v>Suspensión</v>
      </c>
      <c r="C47" s="54" t="s">
        <v>126</v>
      </c>
      <c r="D47" s="54" t="s">
        <v>124</v>
      </c>
      <c r="E47" s="54"/>
      <c r="F47" s="54"/>
      <c r="G47" s="54"/>
      <c r="H47" s="54"/>
      <c r="I47" s="55">
        <v>1</v>
      </c>
      <c r="J47" s="55"/>
      <c r="K47" s="55"/>
      <c r="L47" s="55">
        <v>1</v>
      </c>
      <c r="M47" s="55"/>
      <c r="N47" s="55"/>
      <c r="O47" s="55"/>
      <c r="P47" s="55"/>
      <c r="Q47" s="55"/>
      <c r="R47" s="56">
        <v>1</v>
      </c>
      <c r="S47" s="56"/>
      <c r="T47" s="56"/>
      <c r="U47" s="56"/>
      <c r="V47" s="56"/>
      <c r="W47" s="56">
        <v>1</v>
      </c>
      <c r="X47" s="56">
        <v>1</v>
      </c>
      <c r="Y47" s="56"/>
      <c r="Z47" s="56"/>
      <c r="AA47" s="53">
        <f t="shared" si="2"/>
        <v>1</v>
      </c>
      <c r="AB47" s="21">
        <v>1</v>
      </c>
      <c r="AC47" s="17"/>
    </row>
    <row r="48" spans="1:29" x14ac:dyDescent="0.25">
      <c r="A48" s="54" t="s">
        <v>58</v>
      </c>
      <c r="B48" s="54" t="str">
        <f t="shared" si="0"/>
        <v>Retención</v>
      </c>
      <c r="C48" s="54" t="s">
        <v>119</v>
      </c>
      <c r="D48" s="54" t="s">
        <v>124</v>
      </c>
      <c r="E48" s="54"/>
      <c r="F48" s="54"/>
      <c r="G48" s="54"/>
      <c r="H48" s="54"/>
      <c r="I48" s="55">
        <v>1</v>
      </c>
      <c r="J48" s="55"/>
      <c r="K48" s="55"/>
      <c r="L48" s="55">
        <v>1</v>
      </c>
      <c r="M48" s="55"/>
      <c r="N48" s="55"/>
      <c r="O48" s="55"/>
      <c r="P48" s="55"/>
      <c r="Q48" s="55"/>
      <c r="R48" s="56">
        <v>1</v>
      </c>
      <c r="S48" s="56"/>
      <c r="T48" s="56"/>
      <c r="U48" s="56"/>
      <c r="V48" s="56"/>
      <c r="W48" s="56">
        <v>1</v>
      </c>
      <c r="X48" s="56">
        <v>1</v>
      </c>
      <c r="Y48" s="56"/>
      <c r="Z48" s="56"/>
      <c r="AA48" s="53">
        <f t="shared" si="2"/>
        <v>1</v>
      </c>
      <c r="AB48" s="21">
        <v>1</v>
      </c>
      <c r="AC48" s="17" t="s">
        <v>135</v>
      </c>
    </row>
    <row r="49" spans="1:29" x14ac:dyDescent="0.25">
      <c r="A49" s="54" t="s">
        <v>59</v>
      </c>
      <c r="B49" s="54" t="str">
        <f t="shared" si="0"/>
        <v>Retención</v>
      </c>
      <c r="C49" s="54" t="s">
        <v>119</v>
      </c>
      <c r="D49" s="54" t="s">
        <v>118</v>
      </c>
      <c r="E49" s="54"/>
      <c r="F49" s="54"/>
      <c r="G49" s="54"/>
      <c r="H49" s="54"/>
      <c r="I49" s="55">
        <v>1</v>
      </c>
      <c r="J49" s="55"/>
      <c r="K49" s="55"/>
      <c r="L49" s="55">
        <v>1</v>
      </c>
      <c r="M49" s="55"/>
      <c r="N49" s="55"/>
      <c r="O49" s="55"/>
      <c r="P49" s="55"/>
      <c r="Q49" s="55"/>
      <c r="R49" s="56">
        <v>1</v>
      </c>
      <c r="S49" s="56"/>
      <c r="T49" s="56"/>
      <c r="U49" s="56"/>
      <c r="V49" s="56"/>
      <c r="W49" s="56">
        <v>1</v>
      </c>
      <c r="X49" s="56">
        <v>1</v>
      </c>
      <c r="Y49" s="56"/>
      <c r="Z49" s="56"/>
      <c r="AA49" s="53">
        <f t="shared" si="2"/>
        <v>1</v>
      </c>
      <c r="AB49" s="21">
        <v>1</v>
      </c>
      <c r="AC49" s="17"/>
    </row>
    <row r="50" spans="1:29" x14ac:dyDescent="0.25">
      <c r="A50" s="54" t="s">
        <v>60</v>
      </c>
      <c r="B50" s="54" t="str">
        <f t="shared" si="0"/>
        <v>Retención</v>
      </c>
      <c r="C50" s="54" t="s">
        <v>122</v>
      </c>
      <c r="D50" s="54" t="s">
        <v>121</v>
      </c>
      <c r="E50" s="54"/>
      <c r="F50" s="54"/>
      <c r="G50" s="54"/>
      <c r="H50" s="54"/>
      <c r="I50" s="55">
        <v>1</v>
      </c>
      <c r="J50" s="55"/>
      <c r="K50" s="55"/>
      <c r="L50" s="55">
        <v>1</v>
      </c>
      <c r="M50" s="55"/>
      <c r="N50" s="55"/>
      <c r="O50" s="55"/>
      <c r="P50" s="55"/>
      <c r="Q50" s="55"/>
      <c r="R50" s="56">
        <v>1</v>
      </c>
      <c r="S50" s="56"/>
      <c r="T50" s="56"/>
      <c r="U50" s="56"/>
      <c r="V50" s="56"/>
      <c r="W50" s="56">
        <v>1</v>
      </c>
      <c r="X50" s="56">
        <v>1</v>
      </c>
      <c r="Y50" s="56"/>
      <c r="Z50" s="56"/>
      <c r="AA50" s="53">
        <f t="shared" si="2"/>
        <v>1</v>
      </c>
      <c r="AB50" s="21">
        <v>1</v>
      </c>
      <c r="AC50" s="17"/>
    </row>
    <row r="51" spans="1:29" x14ac:dyDescent="0.25">
      <c r="A51" s="54" t="s">
        <v>61</v>
      </c>
      <c r="B51" s="54" t="str">
        <f t="shared" si="0"/>
        <v>Retención</v>
      </c>
      <c r="C51" s="54" t="s">
        <v>122</v>
      </c>
      <c r="D51" s="54" t="s">
        <v>121</v>
      </c>
      <c r="E51" s="54"/>
      <c r="F51" s="54"/>
      <c r="G51" s="54"/>
      <c r="H51" s="54"/>
      <c r="I51" s="55">
        <v>1</v>
      </c>
      <c r="J51" s="55"/>
      <c r="K51" s="55"/>
      <c r="L51" s="55">
        <v>1</v>
      </c>
      <c r="M51" s="55"/>
      <c r="N51" s="55"/>
      <c r="O51" s="55"/>
      <c r="P51" s="55"/>
      <c r="Q51" s="55"/>
      <c r="R51" s="56">
        <v>1</v>
      </c>
      <c r="S51" s="56"/>
      <c r="T51" s="56"/>
      <c r="U51" s="56"/>
      <c r="V51" s="56"/>
      <c r="W51" s="56">
        <v>1</v>
      </c>
      <c r="X51" s="56">
        <v>1</v>
      </c>
      <c r="Y51" s="56"/>
      <c r="Z51" s="56"/>
      <c r="AA51" s="53">
        <f t="shared" si="2"/>
        <v>1</v>
      </c>
      <c r="AB51" s="21"/>
      <c r="AC51" s="17"/>
    </row>
    <row r="52" spans="1:29" x14ac:dyDescent="0.25">
      <c r="A52" s="54" t="s">
        <v>62</v>
      </c>
      <c r="B52" s="54" t="str">
        <f t="shared" si="0"/>
        <v>Suspensión</v>
      </c>
      <c r="C52" s="54" t="s">
        <v>126</v>
      </c>
      <c r="D52" s="54" t="s">
        <v>120</v>
      </c>
      <c r="E52" s="54"/>
      <c r="F52" s="54"/>
      <c r="G52" s="54"/>
      <c r="H52" s="54"/>
      <c r="I52" s="55">
        <v>1</v>
      </c>
      <c r="J52" s="55"/>
      <c r="K52" s="55"/>
      <c r="L52" s="55">
        <v>1</v>
      </c>
      <c r="M52" s="55"/>
      <c r="N52" s="55"/>
      <c r="O52" s="55"/>
      <c r="P52" s="55"/>
      <c r="Q52" s="55"/>
      <c r="R52" s="56">
        <v>1</v>
      </c>
      <c r="S52" s="56"/>
      <c r="T52" s="56"/>
      <c r="U52" s="56"/>
      <c r="V52" s="56"/>
      <c r="W52" s="56">
        <v>1</v>
      </c>
      <c r="X52" s="56">
        <v>1</v>
      </c>
      <c r="Y52" s="56"/>
      <c r="Z52" s="56"/>
      <c r="AA52" s="53">
        <f t="shared" si="2"/>
        <v>1</v>
      </c>
      <c r="AB52" s="21"/>
      <c r="AC52" s="17" t="s">
        <v>134</v>
      </c>
    </row>
    <row r="53" spans="1:29" x14ac:dyDescent="0.25">
      <c r="A53" s="54" t="s">
        <v>63</v>
      </c>
      <c r="B53" s="54" t="str">
        <f t="shared" si="0"/>
        <v>Retención</v>
      </c>
      <c r="C53" s="54" t="s">
        <v>119</v>
      </c>
      <c r="D53" s="54" t="s">
        <v>118</v>
      </c>
      <c r="E53" s="54"/>
      <c r="F53" s="54"/>
      <c r="G53" s="54"/>
      <c r="H53" s="54"/>
      <c r="I53" s="55">
        <v>1</v>
      </c>
      <c r="J53" s="55"/>
      <c r="K53" s="55"/>
      <c r="L53" s="55">
        <v>1</v>
      </c>
      <c r="M53" s="55"/>
      <c r="N53" s="55"/>
      <c r="O53" s="55"/>
      <c r="P53" s="55"/>
      <c r="Q53" s="55"/>
      <c r="R53" s="56">
        <v>1</v>
      </c>
      <c r="S53" s="56"/>
      <c r="T53" s="56"/>
      <c r="U53" s="56"/>
      <c r="V53" s="56"/>
      <c r="W53" s="56">
        <v>1</v>
      </c>
      <c r="X53" s="56">
        <v>1</v>
      </c>
      <c r="Y53" s="56"/>
      <c r="Z53" s="56"/>
      <c r="AA53" s="53">
        <f t="shared" si="2"/>
        <v>1</v>
      </c>
      <c r="AB53" s="21">
        <v>1</v>
      </c>
      <c r="AC53" s="17" t="s">
        <v>134</v>
      </c>
    </row>
    <row r="54" spans="1:29" x14ac:dyDescent="0.25">
      <c r="A54" s="54" t="s">
        <v>64</v>
      </c>
      <c r="B54" s="54" t="str">
        <f t="shared" si="0"/>
        <v>Retención</v>
      </c>
      <c r="C54" s="54" t="s">
        <v>119</v>
      </c>
      <c r="D54" s="54" t="s">
        <v>124</v>
      </c>
      <c r="E54" s="54"/>
      <c r="F54" s="54"/>
      <c r="G54" s="54"/>
      <c r="H54" s="54"/>
      <c r="I54" s="55">
        <v>1</v>
      </c>
      <c r="J54" s="55"/>
      <c r="K54" s="55"/>
      <c r="L54" s="55">
        <v>1</v>
      </c>
      <c r="M54" s="55"/>
      <c r="N54" s="55"/>
      <c r="O54" s="55"/>
      <c r="P54" s="55"/>
      <c r="Q54" s="55"/>
      <c r="R54" s="56">
        <v>1</v>
      </c>
      <c r="S54" s="56"/>
      <c r="T54" s="56"/>
      <c r="U54" s="56"/>
      <c r="V54" s="56"/>
      <c r="W54" s="56">
        <v>1</v>
      </c>
      <c r="X54" s="56">
        <v>1</v>
      </c>
      <c r="Y54" s="56"/>
      <c r="Z54" s="56"/>
      <c r="AA54" s="53">
        <f t="shared" si="2"/>
        <v>1</v>
      </c>
      <c r="AB54" s="21">
        <v>1</v>
      </c>
      <c r="AC54" s="17" t="s">
        <v>134</v>
      </c>
    </row>
    <row r="55" spans="1:29" x14ac:dyDescent="0.25">
      <c r="A55" s="54" t="s">
        <v>65</v>
      </c>
      <c r="B55" s="54" t="str">
        <f t="shared" si="0"/>
        <v>Retención</v>
      </c>
      <c r="C55" s="54" t="s">
        <v>119</v>
      </c>
      <c r="D55" s="54" t="s">
        <v>120</v>
      </c>
      <c r="E55" s="54"/>
      <c r="F55" s="54"/>
      <c r="G55" s="54"/>
      <c r="H55" s="54"/>
      <c r="I55" s="55">
        <v>1</v>
      </c>
      <c r="J55" s="55"/>
      <c r="K55" s="55"/>
      <c r="L55" s="55">
        <v>1</v>
      </c>
      <c r="M55" s="55"/>
      <c r="N55" s="55"/>
      <c r="O55" s="55"/>
      <c r="P55" s="55"/>
      <c r="Q55" s="55"/>
      <c r="R55" s="56">
        <v>1</v>
      </c>
      <c r="S55" s="56"/>
      <c r="T55" s="56"/>
      <c r="U55" s="56"/>
      <c r="V55" s="56"/>
      <c r="W55" s="56">
        <v>1</v>
      </c>
      <c r="X55" s="56">
        <v>1</v>
      </c>
      <c r="Y55" s="56"/>
      <c r="Z55" s="56"/>
      <c r="AA55" s="53">
        <f t="shared" si="2"/>
        <v>1</v>
      </c>
      <c r="AB55" s="21"/>
      <c r="AC55" s="17" t="s">
        <v>134</v>
      </c>
    </row>
    <row r="56" spans="1:29" x14ac:dyDescent="0.25">
      <c r="A56" s="54" t="s">
        <v>66</v>
      </c>
      <c r="B56" s="54" t="str">
        <f t="shared" si="0"/>
        <v>Suspensión</v>
      </c>
      <c r="C56" s="54" t="s">
        <v>126</v>
      </c>
      <c r="D56" s="54" t="s">
        <v>120</v>
      </c>
      <c r="E56" s="54"/>
      <c r="F56" s="54"/>
      <c r="G56" s="54"/>
      <c r="H56" s="54"/>
      <c r="I56" s="55">
        <v>1</v>
      </c>
      <c r="J56" s="55"/>
      <c r="K56" s="55"/>
      <c r="L56" s="55">
        <v>1</v>
      </c>
      <c r="M56" s="55"/>
      <c r="N56" s="55"/>
      <c r="O56" s="55"/>
      <c r="P56" s="55"/>
      <c r="Q56" s="55"/>
      <c r="R56" s="56">
        <v>1</v>
      </c>
      <c r="S56" s="56"/>
      <c r="T56" s="56"/>
      <c r="U56" s="56"/>
      <c r="V56" s="56"/>
      <c r="W56" s="56">
        <v>1</v>
      </c>
      <c r="X56" s="56">
        <v>1</v>
      </c>
      <c r="Y56" s="56"/>
      <c r="Z56" s="56"/>
      <c r="AA56" s="53">
        <f t="shared" si="2"/>
        <v>1</v>
      </c>
      <c r="AB56" s="21"/>
      <c r="AC56" s="17"/>
    </row>
    <row r="57" spans="1:29" x14ac:dyDescent="0.25">
      <c r="A57" s="54" t="s">
        <v>67</v>
      </c>
      <c r="B57" s="54" t="str">
        <f t="shared" si="0"/>
        <v>Suspensión</v>
      </c>
      <c r="C57" s="54" t="s">
        <v>126</v>
      </c>
      <c r="D57" s="54" t="s">
        <v>121</v>
      </c>
      <c r="E57" s="54"/>
      <c r="F57" s="54"/>
      <c r="G57" s="54"/>
      <c r="H57" s="54"/>
      <c r="I57" s="55">
        <v>1</v>
      </c>
      <c r="J57" s="55"/>
      <c r="K57" s="55"/>
      <c r="L57" s="55">
        <v>1</v>
      </c>
      <c r="M57" s="55"/>
      <c r="N57" s="55"/>
      <c r="O57" s="55"/>
      <c r="P57" s="55"/>
      <c r="Q57" s="55"/>
      <c r="R57" s="56">
        <v>1</v>
      </c>
      <c r="S57" s="56"/>
      <c r="T57" s="56"/>
      <c r="U57" s="56"/>
      <c r="V57" s="56"/>
      <c r="W57" s="56">
        <v>1</v>
      </c>
      <c r="X57" s="56">
        <v>1</v>
      </c>
      <c r="Y57" s="56"/>
      <c r="Z57" s="56"/>
      <c r="AA57" s="53">
        <f t="shared" si="2"/>
        <v>1</v>
      </c>
      <c r="AB57" s="21"/>
      <c r="AC57" s="17" t="s">
        <v>134</v>
      </c>
    </row>
    <row r="58" spans="1:29" x14ac:dyDescent="0.25">
      <c r="A58" s="54" t="s">
        <v>68</v>
      </c>
      <c r="B58" s="54" t="str">
        <f t="shared" si="0"/>
        <v>Retención</v>
      </c>
      <c r="C58" s="54" t="s">
        <v>119</v>
      </c>
      <c r="D58" s="54" t="s">
        <v>123</v>
      </c>
      <c r="E58" s="54"/>
      <c r="F58" s="54"/>
      <c r="G58" s="54"/>
      <c r="H58" s="54"/>
      <c r="I58" s="55">
        <v>1</v>
      </c>
      <c r="J58" s="55"/>
      <c r="K58" s="55"/>
      <c r="L58" s="55">
        <v>1</v>
      </c>
      <c r="M58" s="55"/>
      <c r="N58" s="55"/>
      <c r="O58" s="55"/>
      <c r="P58" s="55"/>
      <c r="Q58" s="55"/>
      <c r="R58" s="56">
        <v>1</v>
      </c>
      <c r="S58" s="56"/>
      <c r="T58" s="56"/>
      <c r="U58" s="56"/>
      <c r="V58" s="56"/>
      <c r="W58" s="56">
        <v>1</v>
      </c>
      <c r="X58" s="56">
        <v>1</v>
      </c>
      <c r="Y58" s="56"/>
      <c r="Z58" s="56"/>
      <c r="AA58" s="53">
        <f t="shared" si="2"/>
        <v>1</v>
      </c>
      <c r="AB58" s="21"/>
      <c r="AC58" s="17" t="s">
        <v>134</v>
      </c>
    </row>
    <row r="59" spans="1:29" x14ac:dyDescent="0.25">
      <c r="A59" s="54" t="s">
        <v>69</v>
      </c>
      <c r="B59" s="54" t="str">
        <f t="shared" si="0"/>
        <v>Retención</v>
      </c>
      <c r="C59" s="54" t="s">
        <v>119</v>
      </c>
      <c r="D59" s="54" t="s">
        <v>123</v>
      </c>
      <c r="E59" s="54"/>
      <c r="F59" s="54"/>
      <c r="G59" s="54"/>
      <c r="H59" s="54"/>
      <c r="I59" s="55">
        <v>1</v>
      </c>
      <c r="J59" s="55"/>
      <c r="K59" s="55"/>
      <c r="L59" s="55">
        <v>1</v>
      </c>
      <c r="M59" s="55"/>
      <c r="N59" s="55"/>
      <c r="O59" s="55"/>
      <c r="P59" s="55"/>
      <c r="Q59" s="55"/>
      <c r="R59" s="56">
        <v>1</v>
      </c>
      <c r="S59" s="56"/>
      <c r="T59" s="56"/>
      <c r="U59" s="56"/>
      <c r="V59" s="56"/>
      <c r="W59" s="56">
        <v>1</v>
      </c>
      <c r="X59" s="56">
        <v>1</v>
      </c>
      <c r="Y59" s="56"/>
      <c r="Z59" s="56"/>
      <c r="AA59" s="53">
        <f t="shared" si="2"/>
        <v>1</v>
      </c>
      <c r="AB59" s="21"/>
      <c r="AC59" s="17"/>
    </row>
    <row r="60" spans="1:29" x14ac:dyDescent="0.25">
      <c r="A60" s="54" t="s">
        <v>70</v>
      </c>
      <c r="B60" s="54" t="str">
        <f t="shared" si="0"/>
        <v>Retención</v>
      </c>
      <c r="C60" s="54" t="s">
        <v>119</v>
      </c>
      <c r="D60" s="54" t="s">
        <v>125</v>
      </c>
      <c r="E60" s="54"/>
      <c r="F60" s="54"/>
      <c r="G60" s="54"/>
      <c r="H60" s="54"/>
      <c r="I60" s="55">
        <v>1</v>
      </c>
      <c r="J60" s="55"/>
      <c r="K60" s="55"/>
      <c r="L60" s="55">
        <v>1</v>
      </c>
      <c r="M60" s="55"/>
      <c r="N60" s="55"/>
      <c r="O60" s="55"/>
      <c r="P60" s="55"/>
      <c r="Q60" s="55"/>
      <c r="R60" s="56">
        <v>1</v>
      </c>
      <c r="S60" s="56"/>
      <c r="T60" s="56"/>
      <c r="U60" s="56"/>
      <c r="V60" s="56"/>
      <c r="W60" s="56">
        <v>1</v>
      </c>
      <c r="X60" s="56">
        <v>1</v>
      </c>
      <c r="Y60" s="56"/>
      <c r="Z60" s="56"/>
      <c r="AA60" s="53">
        <f t="shared" si="2"/>
        <v>1</v>
      </c>
      <c r="AB60" s="21"/>
      <c r="AC60" s="17"/>
    </row>
    <row r="61" spans="1:29" x14ac:dyDescent="0.25">
      <c r="A61" s="54" t="s">
        <v>71</v>
      </c>
      <c r="B61" s="54" t="str">
        <f t="shared" si="0"/>
        <v>Suspensión</v>
      </c>
      <c r="C61" s="54" t="s">
        <v>126</v>
      </c>
      <c r="D61" s="54" t="s">
        <v>124</v>
      </c>
      <c r="E61" s="54"/>
      <c r="F61" s="54"/>
      <c r="G61" s="54"/>
      <c r="H61" s="54"/>
      <c r="I61" s="55">
        <v>1</v>
      </c>
      <c r="J61" s="55"/>
      <c r="K61" s="55"/>
      <c r="L61" s="55">
        <v>1</v>
      </c>
      <c r="M61" s="55"/>
      <c r="N61" s="55"/>
      <c r="O61" s="55"/>
      <c r="P61" s="55"/>
      <c r="Q61" s="55"/>
      <c r="R61" s="56">
        <v>1</v>
      </c>
      <c r="S61" s="56"/>
      <c r="T61" s="56"/>
      <c r="U61" s="56"/>
      <c r="V61" s="56"/>
      <c r="W61" s="56">
        <v>1</v>
      </c>
      <c r="X61" s="56">
        <v>1</v>
      </c>
      <c r="Y61" s="56"/>
      <c r="Z61" s="56"/>
      <c r="AA61" s="53">
        <f t="shared" si="2"/>
        <v>1</v>
      </c>
      <c r="AB61" s="21"/>
      <c r="AC61" s="17" t="s">
        <v>134</v>
      </c>
    </row>
    <row r="62" spans="1:29" x14ac:dyDescent="0.25">
      <c r="A62" s="54" t="s">
        <v>72</v>
      </c>
      <c r="B62" s="54" t="str">
        <f t="shared" si="0"/>
        <v>Suspensión</v>
      </c>
      <c r="C62" s="54" t="s">
        <v>127</v>
      </c>
      <c r="D62" s="54" t="s">
        <v>128</v>
      </c>
      <c r="E62" s="54"/>
      <c r="F62" s="54"/>
      <c r="G62" s="54"/>
      <c r="H62" s="54"/>
      <c r="I62" s="55">
        <v>1</v>
      </c>
      <c r="J62" s="55"/>
      <c r="K62" s="55"/>
      <c r="L62" s="55">
        <v>1</v>
      </c>
      <c r="M62" s="55"/>
      <c r="N62" s="55"/>
      <c r="O62" s="55"/>
      <c r="P62" s="55"/>
      <c r="Q62" s="55"/>
      <c r="R62" s="56">
        <v>1</v>
      </c>
      <c r="S62" s="56"/>
      <c r="T62" s="56"/>
      <c r="U62" s="56"/>
      <c r="V62" s="56"/>
      <c r="W62" s="56">
        <v>1</v>
      </c>
      <c r="X62" s="56">
        <v>1</v>
      </c>
      <c r="Y62" s="56"/>
      <c r="Z62" s="56"/>
      <c r="AA62" s="53">
        <f t="shared" si="2"/>
        <v>1</v>
      </c>
      <c r="AB62" s="21"/>
      <c r="AC62" s="17" t="s">
        <v>134</v>
      </c>
    </row>
    <row r="63" spans="1:29" x14ac:dyDescent="0.25">
      <c r="A63" s="54" t="s">
        <v>73</v>
      </c>
      <c r="B63" s="54" t="str">
        <f t="shared" si="0"/>
        <v>Retención</v>
      </c>
      <c r="C63" s="54" t="s">
        <v>119</v>
      </c>
      <c r="D63" s="54" t="s">
        <v>121</v>
      </c>
      <c r="E63" s="54"/>
      <c r="F63" s="54"/>
      <c r="G63" s="54"/>
      <c r="H63" s="54"/>
      <c r="I63" s="55">
        <v>1</v>
      </c>
      <c r="J63" s="55"/>
      <c r="K63" s="55"/>
      <c r="L63" s="55">
        <v>1</v>
      </c>
      <c r="M63" s="55"/>
      <c r="N63" s="55"/>
      <c r="O63" s="55"/>
      <c r="P63" s="55"/>
      <c r="Q63" s="55"/>
      <c r="R63" s="56">
        <v>1</v>
      </c>
      <c r="S63" s="56"/>
      <c r="T63" s="56"/>
      <c r="U63" s="56"/>
      <c r="V63" s="56"/>
      <c r="W63" s="56">
        <v>1</v>
      </c>
      <c r="X63" s="56">
        <v>1</v>
      </c>
      <c r="Y63" s="56"/>
      <c r="Z63" s="56"/>
      <c r="AA63" s="53">
        <f t="shared" si="2"/>
        <v>1</v>
      </c>
      <c r="AB63" s="21"/>
      <c r="AC63" s="17"/>
    </row>
    <row r="64" spans="1:29" x14ac:dyDescent="0.25">
      <c r="A64" s="54" t="s">
        <v>74</v>
      </c>
      <c r="B64" s="54" t="str">
        <f t="shared" si="0"/>
        <v>Retención</v>
      </c>
      <c r="C64" s="54" t="s">
        <v>129</v>
      </c>
      <c r="D64" s="54" t="s">
        <v>128</v>
      </c>
      <c r="E64" s="54"/>
      <c r="F64" s="54"/>
      <c r="G64" s="54"/>
      <c r="H64" s="54"/>
      <c r="I64" s="55">
        <v>1</v>
      </c>
      <c r="J64" s="55"/>
      <c r="K64" s="55"/>
      <c r="L64" s="55">
        <v>1</v>
      </c>
      <c r="M64" s="55"/>
      <c r="N64" s="55"/>
      <c r="O64" s="55"/>
      <c r="P64" s="55"/>
      <c r="Q64" s="55"/>
      <c r="R64" s="56">
        <v>1</v>
      </c>
      <c r="S64" s="56"/>
      <c r="T64" s="56"/>
      <c r="U64" s="56"/>
      <c r="V64" s="56"/>
      <c r="W64" s="56">
        <v>1</v>
      </c>
      <c r="X64" s="56">
        <v>1</v>
      </c>
      <c r="Y64" s="56"/>
      <c r="Z64" s="56"/>
      <c r="AA64" s="53">
        <f t="shared" si="2"/>
        <v>1</v>
      </c>
      <c r="AB64" s="21"/>
      <c r="AC64" s="17"/>
    </row>
    <row r="65" spans="1:29" x14ac:dyDescent="0.25">
      <c r="A65" s="54" t="s">
        <v>75</v>
      </c>
      <c r="B65" s="54" t="str">
        <f t="shared" si="0"/>
        <v>Retención</v>
      </c>
      <c r="C65" s="54" t="s">
        <v>129</v>
      </c>
      <c r="D65" s="54" t="s">
        <v>128</v>
      </c>
      <c r="E65" s="54"/>
      <c r="F65" s="54"/>
      <c r="G65" s="54"/>
      <c r="H65" s="54"/>
      <c r="I65" s="55">
        <v>1</v>
      </c>
      <c r="J65" s="55"/>
      <c r="K65" s="55"/>
      <c r="L65" s="55">
        <v>1</v>
      </c>
      <c r="M65" s="55"/>
      <c r="N65" s="55"/>
      <c r="O65" s="55"/>
      <c r="P65" s="55"/>
      <c r="Q65" s="55"/>
      <c r="R65" s="56">
        <v>1</v>
      </c>
      <c r="S65" s="56"/>
      <c r="T65" s="56"/>
      <c r="U65" s="56"/>
      <c r="V65" s="56"/>
      <c r="W65" s="56">
        <v>1</v>
      </c>
      <c r="X65" s="56">
        <v>1</v>
      </c>
      <c r="Y65" s="56"/>
      <c r="Z65" s="56"/>
      <c r="AA65" s="53">
        <f t="shared" si="2"/>
        <v>1</v>
      </c>
      <c r="AB65" s="21"/>
      <c r="AC65" s="17" t="s">
        <v>135</v>
      </c>
    </row>
    <row r="66" spans="1:29" x14ac:dyDescent="0.25">
      <c r="A66" s="54" t="s">
        <v>76</v>
      </c>
      <c r="B66" s="54" t="str">
        <f t="shared" si="0"/>
        <v>Retención</v>
      </c>
      <c r="C66" s="54" t="s">
        <v>117</v>
      </c>
      <c r="D66" s="54" t="s">
        <v>120</v>
      </c>
      <c r="E66" s="54"/>
      <c r="F66" s="54"/>
      <c r="G66" s="54"/>
      <c r="H66" s="54"/>
      <c r="I66" s="55">
        <v>1</v>
      </c>
      <c r="J66" s="55"/>
      <c r="K66" s="55"/>
      <c r="L66" s="55">
        <v>1</v>
      </c>
      <c r="M66" s="55"/>
      <c r="N66" s="55"/>
      <c r="O66" s="55"/>
      <c r="P66" s="55"/>
      <c r="Q66" s="55"/>
      <c r="R66" s="56">
        <v>1</v>
      </c>
      <c r="S66" s="56"/>
      <c r="T66" s="56"/>
      <c r="U66" s="56"/>
      <c r="V66" s="56"/>
      <c r="W66" s="56">
        <v>1</v>
      </c>
      <c r="X66" s="56">
        <v>1</v>
      </c>
      <c r="Y66" s="56"/>
      <c r="Z66" s="56"/>
      <c r="AA66" s="53">
        <f t="shared" si="2"/>
        <v>1</v>
      </c>
      <c r="AB66" s="21"/>
      <c r="AC66" s="17"/>
    </row>
    <row r="67" spans="1:29" x14ac:dyDescent="0.25">
      <c r="A67" s="52" t="s">
        <v>130</v>
      </c>
      <c r="B67" s="52" t="str">
        <f>+IF(OR(C67="A",C67="A especial"),"Suspensión","Retención")</f>
        <v>Retención</v>
      </c>
      <c r="C67" s="52" t="s">
        <v>131</v>
      </c>
      <c r="D67" s="52"/>
      <c r="E67" s="52"/>
      <c r="F67" s="52"/>
      <c r="G67" s="52"/>
      <c r="H67" s="52"/>
      <c r="I67" s="53"/>
      <c r="J67" s="53"/>
      <c r="K67" s="53"/>
      <c r="L67" s="53"/>
      <c r="M67" s="53"/>
      <c r="N67" s="53"/>
      <c r="O67" s="53"/>
      <c r="P67" s="53"/>
      <c r="Q67" s="53"/>
      <c r="R67" s="53"/>
      <c r="S67" s="53"/>
      <c r="T67" s="53"/>
      <c r="U67" s="53"/>
      <c r="V67" s="53"/>
      <c r="W67" s="53"/>
      <c r="X67" s="1"/>
      <c r="Y67" s="1"/>
      <c r="Z67" s="1"/>
      <c r="AA67" s="53"/>
      <c r="AB67" s="21"/>
    </row>
    <row r="68" spans="1:29" x14ac:dyDescent="0.25">
      <c r="D68" s="59" t="s">
        <v>132</v>
      </c>
      <c r="E68" s="59"/>
      <c r="F68" s="59"/>
      <c r="G68" s="59"/>
      <c r="H68" s="59"/>
      <c r="I68" s="60">
        <f t="shared" ref="I68:X68" si="3">SUM(I3:I67)</f>
        <v>64</v>
      </c>
      <c r="J68" s="60"/>
      <c r="K68" s="60"/>
      <c r="L68" s="60">
        <f t="shared" si="3"/>
        <v>63.8</v>
      </c>
      <c r="M68" s="60"/>
      <c r="N68" s="60"/>
      <c r="O68" s="60"/>
      <c r="P68" s="60"/>
      <c r="Q68" s="60"/>
      <c r="R68" s="60">
        <f t="shared" si="3"/>
        <v>64</v>
      </c>
      <c r="S68" s="60"/>
      <c r="T68" s="60"/>
      <c r="U68" s="60"/>
      <c r="V68" s="60"/>
      <c r="W68" s="60">
        <f t="shared" si="3"/>
        <v>64</v>
      </c>
      <c r="X68" s="60">
        <f t="shared" si="3"/>
        <v>63</v>
      </c>
      <c r="Y68" s="60"/>
      <c r="Z68" s="60"/>
      <c r="AA68" s="61">
        <f>SUM(AA3:AA66)</f>
        <v>63.96</v>
      </c>
      <c r="AB68" s="209">
        <f>SUM(AB3:AB66)</f>
        <v>50</v>
      </c>
    </row>
    <row r="69" spans="1:29" x14ac:dyDescent="0.25">
      <c r="AA69"/>
    </row>
    <row r="70" spans="1:29" x14ac:dyDescent="0.25">
      <c r="AA70"/>
    </row>
    <row r="71" spans="1:29" ht="28.15" customHeight="1" x14ac:dyDescent="0.25">
      <c r="B71" s="141" t="s">
        <v>197</v>
      </c>
      <c r="C71" s="142" t="s">
        <v>190</v>
      </c>
      <c r="AA71"/>
    </row>
    <row r="72" spans="1:29" x14ac:dyDescent="0.25">
      <c r="B72" s="1" t="s">
        <v>189</v>
      </c>
      <c r="C72" s="2">
        <v>4</v>
      </c>
      <c r="AA72"/>
    </row>
    <row r="73" spans="1:29" x14ac:dyDescent="0.25">
      <c r="B73" s="1" t="s">
        <v>193</v>
      </c>
      <c r="C73" s="2">
        <v>3</v>
      </c>
      <c r="AA73"/>
    </row>
    <row r="74" spans="1:29" x14ac:dyDescent="0.25">
      <c r="B74" s="1" t="s">
        <v>191</v>
      </c>
      <c r="C74" s="2">
        <v>3</v>
      </c>
      <c r="AA74"/>
    </row>
    <row r="75" spans="1:29" x14ac:dyDescent="0.25">
      <c r="B75" s="1" t="s">
        <v>192</v>
      </c>
      <c r="C75" s="2">
        <v>3</v>
      </c>
      <c r="AA75"/>
    </row>
    <row r="76" spans="1:29" x14ac:dyDescent="0.25">
      <c r="B76" s="1" t="s">
        <v>194</v>
      </c>
      <c r="C76" s="2">
        <v>13</v>
      </c>
      <c r="AA76"/>
    </row>
    <row r="77" spans="1:29" x14ac:dyDescent="0.25">
      <c r="B77" s="1" t="s">
        <v>195</v>
      </c>
      <c r="C77" s="2">
        <f>C76*16</f>
        <v>208</v>
      </c>
      <c r="AA77"/>
    </row>
    <row r="78" spans="1:29" x14ac:dyDescent="0.25">
      <c r="AA78"/>
    </row>
    <row r="79" spans="1:29" x14ac:dyDescent="0.25">
      <c r="B79" s="143" t="s">
        <v>196</v>
      </c>
      <c r="C79" s="142" t="s">
        <v>190</v>
      </c>
      <c r="AA79"/>
    </row>
    <row r="80" spans="1:29" x14ac:dyDescent="0.25">
      <c r="B80" s="1" t="s">
        <v>191</v>
      </c>
      <c r="C80" s="2">
        <v>2</v>
      </c>
      <c r="AA80"/>
    </row>
    <row r="81" spans="2:27" x14ac:dyDescent="0.25">
      <c r="B81" s="1" t="s">
        <v>192</v>
      </c>
      <c r="C81" s="2">
        <v>2</v>
      </c>
      <c r="AA81"/>
    </row>
    <row r="82" spans="2:27" x14ac:dyDescent="0.25">
      <c r="B82" s="1" t="s">
        <v>194</v>
      </c>
      <c r="C82" s="1">
        <v>4</v>
      </c>
      <c r="AA82"/>
    </row>
    <row r="83" spans="2:27" x14ac:dyDescent="0.25">
      <c r="B83" s="1" t="s">
        <v>195</v>
      </c>
      <c r="C83" s="1">
        <f>4*47</f>
        <v>188</v>
      </c>
      <c r="AA83"/>
    </row>
    <row r="84" spans="2:27" x14ac:dyDescent="0.25">
      <c r="AA84"/>
    </row>
    <row r="85" spans="2:27" x14ac:dyDescent="0.25">
      <c r="AA85"/>
    </row>
    <row r="86" spans="2:27" x14ac:dyDescent="0.25">
      <c r="AA86"/>
    </row>
    <row r="87" spans="2:27" x14ac:dyDescent="0.25">
      <c r="AA87"/>
    </row>
    <row r="88" spans="2:27" x14ac:dyDescent="0.25">
      <c r="AA88"/>
    </row>
    <row r="89" spans="2:27" x14ac:dyDescent="0.25">
      <c r="AA89"/>
    </row>
    <row r="90" spans="2:27" x14ac:dyDescent="0.25">
      <c r="AA90"/>
    </row>
    <row r="91" spans="2:27" x14ac:dyDescent="0.25">
      <c r="AA91"/>
    </row>
    <row r="92" spans="2:27" x14ac:dyDescent="0.25">
      <c r="AA92"/>
    </row>
    <row r="93" spans="2:27" x14ac:dyDescent="0.25">
      <c r="AA93"/>
    </row>
    <row r="94" spans="2:27" x14ac:dyDescent="0.25">
      <c r="AA94"/>
    </row>
    <row r="95" spans="2:27" x14ac:dyDescent="0.25">
      <c r="AA95"/>
    </row>
    <row r="96" spans="2:27" x14ac:dyDescent="0.25">
      <c r="AA96"/>
    </row>
    <row r="97" spans="27:27" x14ac:dyDescent="0.25">
      <c r="AA97"/>
    </row>
    <row r="98" spans="27:27" x14ac:dyDescent="0.25">
      <c r="AA98"/>
    </row>
    <row r="99" spans="27:27" x14ac:dyDescent="0.25">
      <c r="AA99"/>
    </row>
    <row r="100" spans="27:27" x14ac:dyDescent="0.25">
      <c r="AA100"/>
    </row>
    <row r="101" spans="27:27" x14ac:dyDescent="0.25">
      <c r="AA101"/>
    </row>
    <row r="102" spans="27:27" x14ac:dyDescent="0.25">
      <c r="AA102"/>
    </row>
    <row r="103" spans="27:27" x14ac:dyDescent="0.25">
      <c r="AA103"/>
    </row>
    <row r="104" spans="27:27" x14ac:dyDescent="0.25">
      <c r="AA104"/>
    </row>
    <row r="105" spans="27:27" x14ac:dyDescent="0.25">
      <c r="AA105"/>
    </row>
    <row r="106" spans="27:27" x14ac:dyDescent="0.25">
      <c r="AA106"/>
    </row>
    <row r="107" spans="27:27" x14ac:dyDescent="0.25">
      <c r="AA107"/>
    </row>
    <row r="108" spans="27:27" x14ac:dyDescent="0.25">
      <c r="AA108"/>
    </row>
    <row r="109" spans="27:27" x14ac:dyDescent="0.25">
      <c r="AA109"/>
    </row>
    <row r="110" spans="27:27" x14ac:dyDescent="0.25">
      <c r="AA110"/>
    </row>
    <row r="111" spans="27:27" x14ac:dyDescent="0.25">
      <c r="AA111"/>
    </row>
    <row r="112" spans="27:27" x14ac:dyDescent="0.25">
      <c r="AA112"/>
    </row>
  </sheetData>
  <autoFilter ref="A1:AC68" xr:uid="{D8674884-E890-4108-95CB-6A7D9110B8B7}"/>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A80F4-263A-4486-9933-14DE5E7D97FF}">
  <dimension ref="A1:AJ15"/>
  <sheetViews>
    <sheetView zoomScale="73" zoomScaleNormal="73" workbookViewId="0">
      <selection activeCell="J5" sqref="J5:J8"/>
    </sheetView>
  </sheetViews>
  <sheetFormatPr baseColWidth="10" defaultRowHeight="15" x14ac:dyDescent="0.25"/>
  <cols>
    <col min="1" max="1" width="4.28515625" customWidth="1"/>
    <col min="2" max="2" width="14.28515625" customWidth="1"/>
    <col min="3" max="3" width="14.140625" customWidth="1"/>
    <col min="4" max="4" width="14.28515625" customWidth="1"/>
    <col min="5" max="5" width="14" customWidth="1"/>
    <col min="6" max="14" width="7.28515625" customWidth="1"/>
    <col min="15" max="15" width="12.28515625" customWidth="1"/>
    <col min="16" max="16" width="12.42578125" customWidth="1"/>
    <col min="17" max="17" width="12.5703125" customWidth="1"/>
    <col min="18" max="18" width="7.42578125" customWidth="1"/>
    <col min="19" max="19" width="7.42578125" style="31" customWidth="1"/>
    <col min="20" max="20" width="7.42578125" customWidth="1"/>
    <col min="21" max="21" width="7.42578125" style="31" customWidth="1"/>
    <col min="22" max="26" width="7.42578125" customWidth="1"/>
    <col min="27" max="27" width="7.42578125" style="31" customWidth="1"/>
    <col min="28" max="35" width="7.42578125" customWidth="1"/>
    <col min="36" max="36" width="21.5703125" customWidth="1"/>
    <col min="39" max="39" width="36.42578125" customWidth="1"/>
  </cols>
  <sheetData>
    <row r="1" spans="1:36" x14ac:dyDescent="0.25">
      <c r="B1" s="67"/>
      <c r="C1" s="341" t="s">
        <v>0</v>
      </c>
      <c r="D1" s="341"/>
      <c r="E1" s="341"/>
      <c r="F1" s="341"/>
      <c r="G1" s="341"/>
      <c r="H1" s="341"/>
      <c r="I1" s="341"/>
      <c r="J1" s="341"/>
      <c r="K1" s="341"/>
      <c r="L1" s="341"/>
      <c r="M1" s="341"/>
      <c r="N1" s="341"/>
      <c r="O1" s="344" t="s">
        <v>133</v>
      </c>
      <c r="P1" s="344"/>
      <c r="Q1" s="344"/>
      <c r="R1" s="344"/>
      <c r="S1" s="344"/>
      <c r="T1" s="344"/>
      <c r="U1" s="344"/>
      <c r="V1" s="344"/>
      <c r="W1" s="344"/>
      <c r="X1" s="344"/>
      <c r="Y1" s="344"/>
      <c r="Z1" s="344"/>
      <c r="AA1" s="344"/>
      <c r="AB1" s="344"/>
      <c r="AC1" s="344"/>
      <c r="AD1" s="344"/>
      <c r="AE1" s="344"/>
      <c r="AF1" s="344"/>
      <c r="AG1" s="344"/>
      <c r="AH1" s="344"/>
      <c r="AI1" s="344"/>
      <c r="AJ1" s="68"/>
    </row>
    <row r="2" spans="1:36" ht="40.15" customHeight="1" x14ac:dyDescent="0.25">
      <c r="B2" s="69" t="s">
        <v>1</v>
      </c>
      <c r="C2" s="279" t="s">
        <v>9</v>
      </c>
      <c r="D2" s="280" t="s">
        <v>83</v>
      </c>
      <c r="E2" s="280" t="s">
        <v>82</v>
      </c>
      <c r="F2" s="337" t="s">
        <v>2</v>
      </c>
      <c r="G2" s="337"/>
      <c r="H2" s="337"/>
      <c r="I2" s="337"/>
      <c r="J2" s="337"/>
      <c r="K2" s="337"/>
      <c r="L2" s="337"/>
      <c r="M2" s="337"/>
      <c r="N2" s="337"/>
      <c r="O2" s="281" t="s">
        <v>10</v>
      </c>
      <c r="P2" s="282" t="s">
        <v>6</v>
      </c>
      <c r="Q2" s="282" t="s">
        <v>84</v>
      </c>
      <c r="R2" s="337" t="s">
        <v>5</v>
      </c>
      <c r="S2" s="337"/>
      <c r="T2" s="337"/>
      <c r="U2" s="337"/>
      <c r="V2" s="337"/>
      <c r="W2" s="337"/>
      <c r="X2" s="337"/>
      <c r="Y2" s="337"/>
      <c r="Z2" s="337"/>
      <c r="AA2" s="337"/>
      <c r="AB2" s="337"/>
      <c r="AC2" s="337"/>
      <c r="AD2" s="337"/>
      <c r="AE2" s="337"/>
      <c r="AF2" s="337"/>
      <c r="AG2" s="337"/>
      <c r="AH2" s="337"/>
      <c r="AI2" s="337"/>
      <c r="AJ2" s="8" t="s">
        <v>4</v>
      </c>
    </row>
    <row r="3" spans="1:36" x14ac:dyDescent="0.25">
      <c r="B3" s="69"/>
      <c r="C3" s="3"/>
      <c r="D3" s="6"/>
      <c r="E3" s="6"/>
      <c r="F3" s="3"/>
      <c r="G3" s="3"/>
      <c r="H3" s="3"/>
      <c r="I3" s="3"/>
      <c r="J3" s="3"/>
      <c r="K3" s="3"/>
      <c r="L3" s="3"/>
      <c r="M3" s="3"/>
      <c r="N3" s="3"/>
      <c r="O3" s="3"/>
      <c r="P3" s="6"/>
      <c r="Q3" s="6"/>
      <c r="R3" s="3" t="s">
        <v>7</v>
      </c>
      <c r="S3" s="3" t="s">
        <v>8</v>
      </c>
      <c r="T3" s="3" t="s">
        <v>7</v>
      </c>
      <c r="U3" s="3" t="s">
        <v>8</v>
      </c>
      <c r="V3" s="3" t="s">
        <v>7</v>
      </c>
      <c r="W3" s="3" t="s">
        <v>8</v>
      </c>
      <c r="X3" s="3" t="s">
        <v>7</v>
      </c>
      <c r="Y3" s="3" t="s">
        <v>8</v>
      </c>
      <c r="Z3" s="3" t="s">
        <v>7</v>
      </c>
      <c r="AA3" s="3" t="s">
        <v>8</v>
      </c>
      <c r="AB3" s="3" t="s">
        <v>7</v>
      </c>
      <c r="AC3" s="3" t="s">
        <v>8</v>
      </c>
      <c r="AD3" s="3" t="s">
        <v>7</v>
      </c>
      <c r="AE3" s="3" t="s">
        <v>8</v>
      </c>
      <c r="AF3" s="3" t="s">
        <v>7</v>
      </c>
      <c r="AG3" s="3" t="s">
        <v>8</v>
      </c>
      <c r="AH3" s="3" t="s">
        <v>7</v>
      </c>
      <c r="AI3" s="3" t="s">
        <v>8</v>
      </c>
      <c r="AJ3" s="8"/>
    </row>
    <row r="4" spans="1:36" x14ac:dyDescent="0.25">
      <c r="A4" s="5"/>
      <c r="B4" s="79">
        <v>45801</v>
      </c>
      <c r="C4" s="17">
        <v>3</v>
      </c>
      <c r="D4" s="2">
        <f>C4</f>
        <v>3</v>
      </c>
      <c r="E4" s="24">
        <f t="shared" ref="E4:E14" si="0">D4/64</f>
        <v>4.6875E-2</v>
      </c>
      <c r="F4" s="84">
        <v>1</v>
      </c>
      <c r="G4" s="84">
        <v>38</v>
      </c>
      <c r="H4" s="84">
        <v>39</v>
      </c>
      <c r="I4" s="2"/>
      <c r="J4" s="2"/>
      <c r="K4" s="2"/>
      <c r="L4" s="2"/>
      <c r="M4" s="2"/>
      <c r="N4" s="2"/>
      <c r="O4" s="81">
        <f>S4+U4+W4+Y4+AA4+AC4+AE4+AI4+AG4</f>
        <v>2.96</v>
      </c>
      <c r="P4" s="2">
        <f>D4</f>
        <v>3</v>
      </c>
      <c r="Q4" s="24">
        <f t="shared" ref="Q4:Q13" si="1">P4/64</f>
        <v>4.6875E-2</v>
      </c>
      <c r="R4" s="83">
        <v>1</v>
      </c>
      <c r="S4" s="75">
        <f>'CANT MONTAJE'!AA3</f>
        <v>0.96</v>
      </c>
      <c r="T4" s="83">
        <v>38</v>
      </c>
      <c r="U4" s="75">
        <f>'CANT MONTAJE'!AA39</f>
        <v>1</v>
      </c>
      <c r="V4" s="83">
        <v>39</v>
      </c>
      <c r="W4" s="75">
        <f>'CANT MONTAJE'!AA40</f>
        <v>1</v>
      </c>
      <c r="X4" s="17"/>
      <c r="Y4" s="75"/>
      <c r="Z4" s="17"/>
      <c r="AA4" s="75"/>
      <c r="AB4" s="17"/>
      <c r="AC4" s="75"/>
      <c r="AD4" s="17"/>
      <c r="AE4" s="76"/>
      <c r="AF4" s="17"/>
      <c r="AG4" s="76"/>
      <c r="AH4" s="17"/>
      <c r="AI4" s="76"/>
      <c r="AJ4" s="10"/>
    </row>
    <row r="5" spans="1:36" x14ac:dyDescent="0.25">
      <c r="B5" s="79">
        <v>45808</v>
      </c>
      <c r="C5" s="17">
        <v>4</v>
      </c>
      <c r="D5" s="2">
        <f t="shared" ref="D5:D14" si="2">D4+C5</f>
        <v>7</v>
      </c>
      <c r="E5" s="24">
        <f t="shared" si="0"/>
        <v>0.109375</v>
      </c>
      <c r="F5" s="84">
        <v>2</v>
      </c>
      <c r="G5" s="84">
        <v>4</v>
      </c>
      <c r="H5" s="84">
        <v>14</v>
      </c>
      <c r="I5" s="84">
        <v>16</v>
      </c>
      <c r="J5" s="2"/>
      <c r="K5" s="2"/>
      <c r="L5" s="2"/>
      <c r="M5" s="2"/>
      <c r="N5" s="2"/>
      <c r="O5" s="81">
        <f t="shared" ref="O5:O13" si="3">S5+U5+W5+Y5+AA5+AC5+AE5+AI5+AG5</f>
        <v>5</v>
      </c>
      <c r="P5" s="2">
        <f>P4+O5</f>
        <v>8</v>
      </c>
      <c r="Q5" s="24">
        <f t="shared" si="1"/>
        <v>0.125</v>
      </c>
      <c r="R5" s="83">
        <v>2</v>
      </c>
      <c r="S5" s="77">
        <f>'CANT MONTAJE'!AA4</f>
        <v>1</v>
      </c>
      <c r="T5" s="83">
        <v>4</v>
      </c>
      <c r="U5" s="77">
        <f>'CANT MONTAJE'!AA6</f>
        <v>1</v>
      </c>
      <c r="V5" s="83">
        <v>14</v>
      </c>
      <c r="W5" s="77">
        <f>'CANT MONTAJE'!AA16</f>
        <v>1</v>
      </c>
      <c r="X5" s="83">
        <v>16</v>
      </c>
      <c r="Y5" s="77">
        <v>1</v>
      </c>
      <c r="Z5" s="83">
        <v>13</v>
      </c>
      <c r="AA5" s="77">
        <v>1</v>
      </c>
      <c r="AB5" s="17"/>
      <c r="AC5" s="77"/>
      <c r="AD5" s="17"/>
      <c r="AE5" s="77"/>
      <c r="AF5" s="17" t="s">
        <v>109</v>
      </c>
      <c r="AG5" s="77"/>
      <c r="AH5" s="17" t="s">
        <v>109</v>
      </c>
      <c r="AI5" s="77"/>
      <c r="AJ5" s="10"/>
    </row>
    <row r="6" spans="1:36" x14ac:dyDescent="0.25">
      <c r="B6" s="79">
        <v>45815</v>
      </c>
      <c r="C6" s="17">
        <v>4</v>
      </c>
      <c r="D6" s="2">
        <f t="shared" si="2"/>
        <v>11</v>
      </c>
      <c r="E6" s="24">
        <f t="shared" si="0"/>
        <v>0.171875</v>
      </c>
      <c r="F6" s="84">
        <v>5</v>
      </c>
      <c r="G6" s="84">
        <v>8</v>
      </c>
      <c r="H6" s="84">
        <v>13</v>
      </c>
      <c r="I6" s="84">
        <v>21</v>
      </c>
      <c r="J6" s="2"/>
      <c r="K6" s="2"/>
      <c r="L6" s="2"/>
      <c r="M6" s="2"/>
      <c r="N6" s="2"/>
      <c r="O6" s="81">
        <f t="shared" si="3"/>
        <v>5</v>
      </c>
      <c r="P6" s="2">
        <f t="shared" ref="P6:P13" si="4">P5+O6</f>
        <v>13</v>
      </c>
      <c r="Q6" s="24">
        <f t="shared" si="1"/>
        <v>0.203125</v>
      </c>
      <c r="R6" s="83">
        <v>5</v>
      </c>
      <c r="S6" s="77">
        <f>'CANT MONTAJE'!AA7</f>
        <v>1</v>
      </c>
      <c r="T6" s="83">
        <v>8</v>
      </c>
      <c r="U6" s="77">
        <f>'CANT MONTAJE'!AA10</f>
        <v>1</v>
      </c>
      <c r="V6" s="83">
        <v>21</v>
      </c>
      <c r="W6" s="77">
        <f>'CANT MONTAJE'!AA23</f>
        <v>1</v>
      </c>
      <c r="X6" s="83">
        <v>9</v>
      </c>
      <c r="Y6" s="77">
        <f>'CANT MONTAJE'!AA11</f>
        <v>1</v>
      </c>
      <c r="Z6" s="83">
        <v>28</v>
      </c>
      <c r="AA6" s="77">
        <f>'CANT MONTAJE'!AA29</f>
        <v>1</v>
      </c>
      <c r="AB6" s="17"/>
      <c r="AC6" s="77"/>
      <c r="AD6" s="17"/>
      <c r="AE6" s="77"/>
      <c r="AF6" s="17"/>
      <c r="AG6" s="77"/>
      <c r="AH6" s="17"/>
      <c r="AI6" s="77"/>
      <c r="AJ6" s="10"/>
    </row>
    <row r="7" spans="1:36" x14ac:dyDescent="0.25">
      <c r="B7" s="79">
        <v>45822</v>
      </c>
      <c r="C7" s="17">
        <v>8</v>
      </c>
      <c r="D7" s="2">
        <f t="shared" si="2"/>
        <v>19</v>
      </c>
      <c r="E7" s="24">
        <f t="shared" si="0"/>
        <v>0.296875</v>
      </c>
      <c r="F7" s="84">
        <v>3</v>
      </c>
      <c r="G7" s="84">
        <v>9</v>
      </c>
      <c r="H7" s="84">
        <v>12</v>
      </c>
      <c r="I7" s="84">
        <v>17</v>
      </c>
      <c r="J7" s="84">
        <v>18</v>
      </c>
      <c r="K7" s="84">
        <v>20</v>
      </c>
      <c r="L7" s="84">
        <v>23</v>
      </c>
      <c r="M7" s="84">
        <v>36</v>
      </c>
      <c r="N7" s="2"/>
      <c r="O7" s="81">
        <f t="shared" si="3"/>
        <v>8</v>
      </c>
      <c r="P7" s="2">
        <f t="shared" si="4"/>
        <v>21</v>
      </c>
      <c r="Q7" s="24">
        <f t="shared" si="1"/>
        <v>0.328125</v>
      </c>
      <c r="R7" s="83">
        <v>3</v>
      </c>
      <c r="S7" s="77">
        <f>'CANT MONTAJE'!AA5</f>
        <v>1</v>
      </c>
      <c r="T7" s="83">
        <v>12</v>
      </c>
      <c r="U7" s="77">
        <f>'CANT MONTAJE'!AA14</f>
        <v>1</v>
      </c>
      <c r="V7" s="83">
        <v>17</v>
      </c>
      <c r="W7" s="77">
        <v>1</v>
      </c>
      <c r="X7" s="83">
        <v>18</v>
      </c>
      <c r="Y7" s="77">
        <f>'CANT MONTAJE'!AA20</f>
        <v>1</v>
      </c>
      <c r="Z7" s="83">
        <v>20</v>
      </c>
      <c r="AA7" s="77">
        <f>'CANT MONTAJE'!AA22</f>
        <v>1</v>
      </c>
      <c r="AB7" s="83">
        <v>23</v>
      </c>
      <c r="AC7" s="77">
        <f>'CANT MONTAJE'!AA25</f>
        <v>1</v>
      </c>
      <c r="AD7" s="83">
        <v>36</v>
      </c>
      <c r="AE7" s="77">
        <f>'CANT MONTAJE'!AA37</f>
        <v>1</v>
      </c>
      <c r="AF7" s="83">
        <v>32</v>
      </c>
      <c r="AG7" s="77">
        <f>'CANT MONTAJE'!AA33</f>
        <v>1</v>
      </c>
      <c r="AH7" s="17"/>
      <c r="AI7" s="77"/>
      <c r="AJ7" s="10"/>
    </row>
    <row r="8" spans="1:36" x14ac:dyDescent="0.25">
      <c r="B8" s="79">
        <v>45829</v>
      </c>
      <c r="C8" s="17">
        <v>9</v>
      </c>
      <c r="D8" s="2">
        <f t="shared" si="2"/>
        <v>28</v>
      </c>
      <c r="E8" s="24">
        <f t="shared" si="0"/>
        <v>0.4375</v>
      </c>
      <c r="F8" s="84">
        <v>6</v>
      </c>
      <c r="G8" s="84">
        <v>7</v>
      </c>
      <c r="H8" s="84">
        <v>10</v>
      </c>
      <c r="I8" s="84">
        <v>11</v>
      </c>
      <c r="J8" s="84">
        <v>19</v>
      </c>
      <c r="K8" s="84">
        <v>24</v>
      </c>
      <c r="L8" s="84">
        <v>26</v>
      </c>
      <c r="M8" s="84">
        <v>32</v>
      </c>
      <c r="N8" s="84">
        <v>41</v>
      </c>
      <c r="O8" s="81">
        <f t="shared" si="3"/>
        <v>8</v>
      </c>
      <c r="P8" s="2">
        <f t="shared" si="4"/>
        <v>29</v>
      </c>
      <c r="Q8" s="24">
        <f t="shared" si="1"/>
        <v>0.453125</v>
      </c>
      <c r="R8" s="83">
        <v>6</v>
      </c>
      <c r="S8" s="77">
        <f>'CANT MONTAJE'!AA8</f>
        <v>1</v>
      </c>
      <c r="T8" s="83">
        <v>7</v>
      </c>
      <c r="U8" s="77">
        <v>1</v>
      </c>
      <c r="V8" s="83">
        <v>10</v>
      </c>
      <c r="W8" s="77">
        <f>'CANT MONTAJE'!AA12</f>
        <v>1</v>
      </c>
      <c r="X8" s="83">
        <v>11</v>
      </c>
      <c r="Y8" s="77">
        <f>'CANT MONTAJE'!AA13</f>
        <v>1</v>
      </c>
      <c r="Z8" s="83">
        <v>19</v>
      </c>
      <c r="AA8" s="77">
        <f>'CANT MONTAJE'!AA21</f>
        <v>1</v>
      </c>
      <c r="AB8" s="83">
        <v>24</v>
      </c>
      <c r="AC8" s="77">
        <f>'CANT MONTAJE'!AA26</f>
        <v>1</v>
      </c>
      <c r="AD8" s="83">
        <v>26</v>
      </c>
      <c r="AE8" s="77">
        <f>'CANT MONTAJE'!AA27</f>
        <v>1</v>
      </c>
      <c r="AF8" s="83">
        <v>41</v>
      </c>
      <c r="AG8" s="77">
        <v>1</v>
      </c>
      <c r="AH8" s="17"/>
      <c r="AI8" s="77"/>
      <c r="AJ8" s="10"/>
    </row>
    <row r="9" spans="1:36" x14ac:dyDescent="0.25">
      <c r="B9" s="79">
        <v>45836</v>
      </c>
      <c r="C9" s="17">
        <v>8</v>
      </c>
      <c r="D9" s="2">
        <f t="shared" si="2"/>
        <v>36</v>
      </c>
      <c r="E9" s="24">
        <f t="shared" si="0"/>
        <v>0.5625</v>
      </c>
      <c r="F9" s="84">
        <v>15</v>
      </c>
      <c r="G9" s="84">
        <v>27</v>
      </c>
      <c r="H9" s="84">
        <v>29</v>
      </c>
      <c r="I9" s="84">
        <v>30</v>
      </c>
      <c r="J9" s="84">
        <v>31</v>
      </c>
      <c r="K9" s="84">
        <v>33</v>
      </c>
      <c r="L9" s="84">
        <v>34</v>
      </c>
      <c r="M9" s="84">
        <v>37</v>
      </c>
      <c r="N9" s="2"/>
      <c r="O9" s="81">
        <f t="shared" si="3"/>
        <v>8</v>
      </c>
      <c r="P9" s="2">
        <f t="shared" si="4"/>
        <v>37</v>
      </c>
      <c r="Q9" s="24">
        <f t="shared" si="1"/>
        <v>0.578125</v>
      </c>
      <c r="R9" s="83">
        <v>15</v>
      </c>
      <c r="S9" s="77">
        <f>'CANT MONTAJE'!AA17</f>
        <v>1</v>
      </c>
      <c r="T9" s="83">
        <v>27</v>
      </c>
      <c r="U9" s="77">
        <f>'CANT MONTAJE'!AA28</f>
        <v>1</v>
      </c>
      <c r="V9" s="83">
        <v>29</v>
      </c>
      <c r="W9" s="77">
        <f>'CANT MONTAJE'!AA30</f>
        <v>1</v>
      </c>
      <c r="X9" s="83">
        <v>30</v>
      </c>
      <c r="Y9" s="77">
        <v>1</v>
      </c>
      <c r="Z9" s="83">
        <v>31</v>
      </c>
      <c r="AA9" s="77">
        <f>'CANT MONTAJE'!AA32</f>
        <v>1</v>
      </c>
      <c r="AB9" s="83">
        <v>33</v>
      </c>
      <c r="AC9" s="77">
        <f>'CANT MONTAJE'!AA34</f>
        <v>1</v>
      </c>
      <c r="AD9" s="83">
        <v>34</v>
      </c>
      <c r="AE9" s="77">
        <v>1</v>
      </c>
      <c r="AF9" s="83">
        <v>37</v>
      </c>
      <c r="AG9" s="77">
        <f>'CANT MONTAJE'!AA38</f>
        <v>1</v>
      </c>
      <c r="AH9" s="17"/>
      <c r="AI9" s="77"/>
      <c r="AJ9" s="10"/>
    </row>
    <row r="10" spans="1:36" x14ac:dyDescent="0.25">
      <c r="B10" s="79">
        <v>45843</v>
      </c>
      <c r="C10" s="17">
        <v>9</v>
      </c>
      <c r="D10" s="2">
        <f t="shared" si="2"/>
        <v>45</v>
      </c>
      <c r="E10" s="24">
        <f t="shared" si="0"/>
        <v>0.703125</v>
      </c>
      <c r="F10" s="84">
        <v>22</v>
      </c>
      <c r="G10" s="84">
        <v>35</v>
      </c>
      <c r="H10" s="84">
        <v>40</v>
      </c>
      <c r="I10" s="84">
        <v>42</v>
      </c>
      <c r="J10" s="84">
        <v>43</v>
      </c>
      <c r="K10" s="84">
        <v>46</v>
      </c>
      <c r="L10" s="84">
        <v>48</v>
      </c>
      <c r="M10" s="84">
        <v>57</v>
      </c>
      <c r="N10" s="84">
        <v>58</v>
      </c>
      <c r="O10" s="81">
        <f t="shared" si="3"/>
        <v>8</v>
      </c>
      <c r="P10" s="2">
        <f t="shared" si="4"/>
        <v>45</v>
      </c>
      <c r="Q10" s="24">
        <f t="shared" si="1"/>
        <v>0.703125</v>
      </c>
      <c r="R10" s="83">
        <v>22</v>
      </c>
      <c r="S10" s="77">
        <f>'CANT MONTAJE'!AA24</f>
        <v>1</v>
      </c>
      <c r="T10" s="83">
        <v>35</v>
      </c>
      <c r="U10" s="77">
        <f>'CANT MONTAJE'!AA36</f>
        <v>1</v>
      </c>
      <c r="V10" s="83">
        <v>40</v>
      </c>
      <c r="W10" s="77">
        <f>'CANT MONTAJE'!AA41</f>
        <v>1</v>
      </c>
      <c r="X10" s="83">
        <v>42</v>
      </c>
      <c r="Y10" s="77">
        <f>'CANT MONTAJE'!AA43</f>
        <v>1</v>
      </c>
      <c r="Z10" s="83">
        <v>43</v>
      </c>
      <c r="AA10" s="77">
        <f>'CANT MONTAJE'!AA44</f>
        <v>1</v>
      </c>
      <c r="AB10" s="83">
        <v>46</v>
      </c>
      <c r="AC10" s="77">
        <f>'CANT MONTAJE'!AA47</f>
        <v>1</v>
      </c>
      <c r="AD10" s="83">
        <v>48</v>
      </c>
      <c r="AE10" s="77">
        <f>'CANT MONTAJE'!AA49</f>
        <v>1</v>
      </c>
      <c r="AF10" s="83">
        <v>38</v>
      </c>
      <c r="AG10" s="77">
        <f>'CANT MONTAJE'!AA39</f>
        <v>1</v>
      </c>
      <c r="AH10" s="83"/>
      <c r="AI10" s="77"/>
      <c r="AJ10" s="10"/>
    </row>
    <row r="11" spans="1:36" x14ac:dyDescent="0.25">
      <c r="B11" s="79">
        <v>45850</v>
      </c>
      <c r="C11" s="17">
        <v>7</v>
      </c>
      <c r="D11" s="2">
        <f t="shared" si="2"/>
        <v>52</v>
      </c>
      <c r="E11" s="24">
        <f t="shared" si="0"/>
        <v>0.8125</v>
      </c>
      <c r="F11" s="85">
        <v>28</v>
      </c>
      <c r="G11" s="84">
        <v>44</v>
      </c>
      <c r="H11" s="84">
        <v>45</v>
      </c>
      <c r="I11" s="84">
        <v>47</v>
      </c>
      <c r="J11" s="84">
        <v>49</v>
      </c>
      <c r="K11" s="84">
        <v>51</v>
      </c>
      <c r="L11" s="84">
        <v>52</v>
      </c>
      <c r="M11" s="2"/>
      <c r="N11" s="2"/>
      <c r="O11" s="81">
        <f t="shared" si="3"/>
        <v>8</v>
      </c>
      <c r="P11" s="2">
        <f t="shared" si="4"/>
        <v>53</v>
      </c>
      <c r="Q11" s="24">
        <f t="shared" si="1"/>
        <v>0.828125</v>
      </c>
      <c r="R11" s="83">
        <v>44</v>
      </c>
      <c r="S11" s="77">
        <f>'CANT MONTAJE'!AA45</f>
        <v>1</v>
      </c>
      <c r="T11" s="83">
        <v>45</v>
      </c>
      <c r="U11" s="77">
        <f>'CANT MONTAJE'!AA46</f>
        <v>1</v>
      </c>
      <c r="V11" s="83">
        <v>47</v>
      </c>
      <c r="W11" s="77">
        <f>'CANT MONTAJE'!AA48</f>
        <v>1</v>
      </c>
      <c r="X11" s="83">
        <v>49</v>
      </c>
      <c r="Y11" s="77">
        <f>'CANT MONTAJE'!AA50</f>
        <v>1</v>
      </c>
      <c r="Z11" s="83">
        <v>51</v>
      </c>
      <c r="AA11" s="77">
        <f>'CANT MONTAJE'!AA52</f>
        <v>1</v>
      </c>
      <c r="AB11" s="83">
        <v>52</v>
      </c>
      <c r="AC11" s="77">
        <f>'CANT MONTAJE'!AA53</f>
        <v>1</v>
      </c>
      <c r="AD11" s="83">
        <v>53</v>
      </c>
      <c r="AE11" s="77">
        <f>'CANT MONTAJE'!AA54</f>
        <v>1</v>
      </c>
      <c r="AF11" s="83">
        <v>54</v>
      </c>
      <c r="AG11" s="77">
        <f>'CANT MONTAJE'!AA55</f>
        <v>1</v>
      </c>
      <c r="AH11" s="17"/>
      <c r="AI11" s="77"/>
      <c r="AJ11" s="10"/>
    </row>
    <row r="12" spans="1:36" x14ac:dyDescent="0.25">
      <c r="B12" s="79">
        <v>45857</v>
      </c>
      <c r="C12" s="17">
        <v>4</v>
      </c>
      <c r="D12" s="2">
        <f t="shared" si="2"/>
        <v>56</v>
      </c>
      <c r="E12" s="24">
        <f t="shared" si="0"/>
        <v>0.875</v>
      </c>
      <c r="F12" s="84">
        <v>50</v>
      </c>
      <c r="G12" s="84">
        <v>56</v>
      </c>
      <c r="H12" s="84">
        <v>59</v>
      </c>
      <c r="I12" s="84">
        <v>61</v>
      </c>
      <c r="J12" s="2"/>
      <c r="K12" s="2"/>
      <c r="L12" s="2"/>
      <c r="M12" s="2"/>
      <c r="N12" s="2"/>
      <c r="O12" s="81">
        <f t="shared" si="3"/>
        <v>8</v>
      </c>
      <c r="P12" s="2">
        <f t="shared" si="4"/>
        <v>61</v>
      </c>
      <c r="Q12" s="24">
        <f t="shared" si="1"/>
        <v>0.953125</v>
      </c>
      <c r="R12" s="83">
        <v>56</v>
      </c>
      <c r="S12" s="77">
        <f>'CANT MONTAJE'!AA57</f>
        <v>1</v>
      </c>
      <c r="T12" s="83">
        <v>62</v>
      </c>
      <c r="U12" s="77">
        <f>'CANT MONTAJE'!AA63</f>
        <v>1</v>
      </c>
      <c r="V12" s="83">
        <v>55</v>
      </c>
      <c r="W12" s="77">
        <f>'CANT MONTAJE'!AA56</f>
        <v>1</v>
      </c>
      <c r="X12" s="83">
        <v>57</v>
      </c>
      <c r="Y12" s="77">
        <f>'CANT MONTAJE'!AA58</f>
        <v>1</v>
      </c>
      <c r="Z12" s="83">
        <v>58</v>
      </c>
      <c r="AA12" s="77">
        <f>'CANT MONTAJE'!AA59</f>
        <v>1</v>
      </c>
      <c r="AB12" s="83">
        <v>59</v>
      </c>
      <c r="AC12" s="77">
        <f>'CANT MONTAJE'!AA60</f>
        <v>1</v>
      </c>
      <c r="AD12" s="83">
        <v>60</v>
      </c>
      <c r="AE12" s="77">
        <f>'CANT MONTAJE'!AA61</f>
        <v>1</v>
      </c>
      <c r="AF12" s="83">
        <v>61</v>
      </c>
      <c r="AG12" s="77">
        <f>'CANT MONTAJE'!AA62</f>
        <v>1</v>
      </c>
      <c r="AH12" s="17"/>
      <c r="AI12" s="77"/>
      <c r="AJ12" s="10"/>
    </row>
    <row r="13" spans="1:36" x14ac:dyDescent="0.25">
      <c r="B13" s="79">
        <v>45864</v>
      </c>
      <c r="C13" s="17">
        <v>7</v>
      </c>
      <c r="D13" s="2">
        <f t="shared" si="2"/>
        <v>63</v>
      </c>
      <c r="E13" s="24">
        <f t="shared" si="0"/>
        <v>0.984375</v>
      </c>
      <c r="F13" s="84">
        <v>53</v>
      </c>
      <c r="G13" s="84">
        <v>54</v>
      </c>
      <c r="H13" s="84">
        <v>55</v>
      </c>
      <c r="I13" s="84">
        <v>60</v>
      </c>
      <c r="J13" s="84">
        <v>62</v>
      </c>
      <c r="K13" s="84">
        <v>63</v>
      </c>
      <c r="L13" s="2"/>
      <c r="M13" s="2"/>
      <c r="N13" s="2"/>
      <c r="O13" s="81">
        <f t="shared" si="3"/>
        <v>3</v>
      </c>
      <c r="P13" s="2">
        <f t="shared" si="4"/>
        <v>64</v>
      </c>
      <c r="Q13" s="24">
        <f t="shared" si="1"/>
        <v>1</v>
      </c>
      <c r="R13" s="83">
        <v>63</v>
      </c>
      <c r="S13" s="77">
        <f>'CANT MONTAJE'!AA64</f>
        <v>1</v>
      </c>
      <c r="T13" s="83">
        <v>64</v>
      </c>
      <c r="U13" s="77">
        <f>'CANT MONTAJE'!AA65</f>
        <v>1</v>
      </c>
      <c r="V13" s="83">
        <v>65</v>
      </c>
      <c r="W13" s="77">
        <f>'CANT MONTAJE'!AA66</f>
        <v>1</v>
      </c>
      <c r="X13" s="17"/>
      <c r="Y13" s="77"/>
      <c r="Z13" s="17"/>
      <c r="AA13" s="77"/>
      <c r="AB13" s="17"/>
      <c r="AC13" s="77"/>
      <c r="AD13" s="17"/>
      <c r="AE13" s="77"/>
      <c r="AF13" s="17"/>
      <c r="AG13" s="77"/>
      <c r="AH13" s="17"/>
      <c r="AI13" s="77"/>
      <c r="AJ13" s="10"/>
    </row>
    <row r="14" spans="1:36" ht="15.75" thickBot="1" x14ac:dyDescent="0.3">
      <c r="B14" s="80">
        <v>45871</v>
      </c>
      <c r="C14" s="70">
        <v>1</v>
      </c>
      <c r="D14" s="71">
        <f t="shared" si="2"/>
        <v>64</v>
      </c>
      <c r="E14" s="72">
        <f t="shared" si="0"/>
        <v>1</v>
      </c>
      <c r="F14" s="86">
        <v>64</v>
      </c>
      <c r="G14" s="71"/>
      <c r="H14" s="71"/>
      <c r="I14" s="71"/>
      <c r="J14" s="71"/>
      <c r="K14" s="71"/>
      <c r="L14" s="71"/>
      <c r="M14" s="71"/>
      <c r="N14" s="71"/>
      <c r="O14" s="82">
        <f>S14+U14+W14+Y14+AA14+AC14+AE14+AI14+AG14</f>
        <v>0</v>
      </c>
      <c r="P14" s="71"/>
      <c r="Q14" s="72"/>
      <c r="R14" s="70"/>
      <c r="S14" s="78"/>
      <c r="T14" s="70"/>
      <c r="U14" s="78"/>
      <c r="V14" s="70"/>
      <c r="W14" s="78"/>
      <c r="X14" s="70"/>
      <c r="Y14" s="78"/>
      <c r="Z14" s="70"/>
      <c r="AA14" s="78"/>
      <c r="AB14" s="70"/>
      <c r="AC14" s="78"/>
      <c r="AD14" s="70"/>
      <c r="AE14" s="78"/>
      <c r="AF14" s="70"/>
      <c r="AG14" s="78"/>
      <c r="AH14" s="70"/>
      <c r="AI14" s="78"/>
      <c r="AJ14" s="74"/>
    </row>
    <row r="15" spans="1:36" x14ac:dyDescent="0.25">
      <c r="B15" s="63"/>
      <c r="C15" s="64"/>
      <c r="D15" s="31"/>
      <c r="E15" s="65"/>
      <c r="O15" s="31"/>
      <c r="P15" s="31"/>
      <c r="Q15" s="65"/>
    </row>
  </sheetData>
  <mergeCells count="4">
    <mergeCell ref="C1:N1"/>
    <mergeCell ref="O1:AI1"/>
    <mergeCell ref="F2:N2"/>
    <mergeCell ref="R2:AI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66D9E-7501-4B51-AA6A-13036792A92A}">
  <dimension ref="A1:CF71"/>
  <sheetViews>
    <sheetView workbookViewId="0">
      <pane xSplit="1" topLeftCell="BA1" activePane="topRight" state="frozen"/>
      <selection activeCell="J5" sqref="J5:J8"/>
      <selection pane="topRight" activeCell="J5" sqref="J5:J8"/>
    </sheetView>
  </sheetViews>
  <sheetFormatPr baseColWidth="10" defaultRowHeight="15" x14ac:dyDescent="0.25"/>
  <cols>
    <col min="2" max="12" width="16.7109375" customWidth="1"/>
    <col min="13" max="13" width="11.5703125" style="64"/>
    <col min="14" max="14" width="16.140625" style="1" customWidth="1"/>
    <col min="15" max="15" width="19" customWidth="1"/>
    <col min="16" max="16" width="11.5703125" style="1"/>
    <col min="22" max="22" width="11.5703125" style="1"/>
    <col min="23" max="23" width="15.28515625" customWidth="1"/>
    <col min="28" max="28" width="13.140625" style="1" customWidth="1"/>
    <col min="30" max="30" width="11.5703125" style="1"/>
    <col min="31" max="31" width="11.5703125" style="231"/>
    <col min="32" max="32" width="11.5703125" style="238"/>
    <col min="33" max="33" width="11.5703125" style="240"/>
    <col min="34" max="34" width="11.5703125" style="231"/>
    <col min="36" max="36" width="11.5703125" style="1"/>
    <col min="38" max="38" width="11.5703125" style="1"/>
    <col min="40" max="40" width="11.5703125" style="119"/>
    <col min="41" max="41" width="11.5703125" style="1"/>
    <col min="44" max="44" width="11.5703125" style="119"/>
    <col min="45" max="45" width="11.5703125" style="1"/>
    <col min="47" max="47" width="11.5703125" style="231"/>
    <col min="48" max="48" width="11.5703125" style="238"/>
    <col min="49" max="49" width="11.5703125" style="240"/>
    <col min="50" max="50" width="11.5703125" style="231"/>
    <col min="51" max="51" width="11.5703125" style="153"/>
    <col min="52" max="52" width="11.5703125" style="119"/>
    <col min="53" max="53" width="11.5703125" style="1"/>
    <col min="56" max="56" width="11.5703125" style="119"/>
    <col min="57" max="57" width="11.5703125" style="1"/>
    <col min="60" max="60" width="11.5703125" style="119"/>
    <col min="61" max="61" width="11.5703125" style="1"/>
    <col min="63" max="63" width="11.5703125" style="231"/>
    <col min="64" max="64" width="11.5703125" style="238"/>
    <col min="65" max="65" width="11.5703125" style="240"/>
    <col min="66" max="66" width="11.5703125" style="231"/>
    <col min="67" max="68" width="11.5703125" style="119"/>
    <col min="69" max="69" width="11.5703125" style="1"/>
    <col min="72" max="72" width="11.5703125" style="119"/>
    <col min="73" max="73" width="11.5703125" style="1"/>
    <col min="76" max="76" width="11.5703125" style="119"/>
    <col min="77" max="77" width="11.5703125" style="1"/>
    <col min="79" max="79" width="11.5703125" style="231"/>
    <col min="80" max="80" width="11.5703125" style="238"/>
    <col min="81" max="81" width="11.5703125" style="240"/>
    <col min="82" max="82" width="11.5703125" style="231"/>
  </cols>
  <sheetData>
    <row r="1" spans="1:84" ht="15.75" thickBot="1" x14ac:dyDescent="0.3">
      <c r="A1" s="352" t="s">
        <v>315</v>
      </c>
      <c r="B1" s="353"/>
      <c r="C1" s="353"/>
      <c r="D1" s="354"/>
      <c r="E1" s="354"/>
      <c r="F1" s="354"/>
      <c r="G1" s="354"/>
      <c r="H1" s="354"/>
      <c r="I1" s="354"/>
      <c r="J1" s="354"/>
      <c r="K1" s="354"/>
      <c r="L1" s="354"/>
      <c r="M1" s="353"/>
      <c r="N1" s="353"/>
      <c r="O1" s="353"/>
      <c r="P1" s="353"/>
      <c r="Q1" s="355" t="s">
        <v>314</v>
      </c>
      <c r="R1" s="356"/>
      <c r="S1" s="356"/>
      <c r="T1" s="356"/>
      <c r="U1" s="356"/>
      <c r="V1" s="357"/>
      <c r="W1" s="349" t="s">
        <v>316</v>
      </c>
      <c r="X1" s="350"/>
      <c r="Y1" s="350"/>
      <c r="Z1" s="350"/>
      <c r="AA1" s="351"/>
      <c r="AB1" s="351"/>
      <c r="AC1" s="351"/>
      <c r="AD1" s="351"/>
      <c r="AE1" s="351"/>
      <c r="AF1" s="351"/>
      <c r="AG1" s="351"/>
      <c r="AH1" s="351"/>
      <c r="AI1" s="351"/>
      <c r="AJ1" s="351"/>
      <c r="AK1" s="351"/>
      <c r="AL1" s="351"/>
      <c r="AM1" s="351"/>
      <c r="AN1" s="351"/>
      <c r="AO1" s="351"/>
      <c r="AP1" s="351"/>
      <c r="AQ1" s="351"/>
      <c r="AR1" s="351"/>
      <c r="AS1" s="351"/>
      <c r="AT1" s="351"/>
      <c r="AU1" s="351"/>
      <c r="AV1" s="351"/>
      <c r="AW1" s="351"/>
      <c r="AX1" s="351"/>
      <c r="AY1" s="351"/>
      <c r="AZ1" s="351"/>
      <c r="BA1" s="351"/>
      <c r="BB1" s="351"/>
      <c r="BC1" s="351"/>
      <c r="BD1" s="351"/>
      <c r="BE1" s="351"/>
      <c r="BF1" s="351"/>
      <c r="BG1" s="351"/>
      <c r="BH1" s="351"/>
      <c r="BI1" s="351"/>
      <c r="BJ1" s="351"/>
      <c r="BK1" s="351"/>
      <c r="BL1" s="351"/>
      <c r="BM1" s="351"/>
      <c r="BN1" s="351"/>
      <c r="BO1" s="351"/>
      <c r="BP1" s="351"/>
      <c r="BQ1" s="351"/>
      <c r="BR1" s="351"/>
      <c r="BS1" s="351"/>
      <c r="BT1" s="351"/>
      <c r="BU1" s="351"/>
      <c r="BV1" s="351"/>
      <c r="BW1" s="351"/>
      <c r="BX1" s="351"/>
      <c r="BY1" s="351"/>
      <c r="BZ1" s="351"/>
      <c r="CA1" s="351"/>
      <c r="CB1" s="351"/>
      <c r="CC1" s="351"/>
      <c r="CD1" s="351"/>
      <c r="CE1" s="350"/>
      <c r="CF1" s="350"/>
    </row>
    <row r="2" spans="1:84" x14ac:dyDescent="0.25">
      <c r="A2" s="241"/>
      <c r="B2" s="241"/>
      <c r="C2" s="241"/>
      <c r="D2" s="365" t="s">
        <v>372</v>
      </c>
      <c r="E2" s="365"/>
      <c r="F2" s="365"/>
      <c r="G2" s="365"/>
      <c r="H2" s="364" t="s">
        <v>371</v>
      </c>
      <c r="I2" s="364"/>
      <c r="J2" s="364"/>
      <c r="K2" s="364"/>
      <c r="L2" s="364"/>
      <c r="M2" s="241"/>
      <c r="N2" s="241"/>
      <c r="O2" s="241"/>
      <c r="P2" s="241"/>
      <c r="Q2" s="242"/>
      <c r="R2" s="242"/>
      <c r="S2" s="242"/>
      <c r="T2" s="242"/>
      <c r="U2" s="242"/>
      <c r="V2" s="242"/>
      <c r="W2" s="347"/>
      <c r="X2" s="347"/>
      <c r="Y2" s="347"/>
      <c r="Z2" s="348"/>
      <c r="AA2" s="358" t="s">
        <v>323</v>
      </c>
      <c r="AB2" s="359"/>
      <c r="AC2" s="359"/>
      <c r="AD2" s="360"/>
      <c r="AE2" s="361" t="s">
        <v>324</v>
      </c>
      <c r="AF2" s="347"/>
      <c r="AG2" s="347"/>
      <c r="AH2" s="348"/>
      <c r="AI2" s="358" t="s">
        <v>325</v>
      </c>
      <c r="AJ2" s="359"/>
      <c r="AK2" s="359"/>
      <c r="AL2" s="360"/>
      <c r="AM2" s="362" t="s">
        <v>326</v>
      </c>
      <c r="AN2" s="362"/>
      <c r="AO2" s="362"/>
      <c r="AP2" s="362"/>
      <c r="AQ2" s="363" t="s">
        <v>327</v>
      </c>
      <c r="AR2" s="363"/>
      <c r="AS2" s="363"/>
      <c r="AT2" s="363"/>
      <c r="AU2" s="346" t="s">
        <v>356</v>
      </c>
      <c r="AV2" s="346"/>
      <c r="AW2" s="346"/>
      <c r="AX2" s="346"/>
      <c r="AY2" s="363" t="s">
        <v>328</v>
      </c>
      <c r="AZ2" s="363"/>
      <c r="BA2" s="363"/>
      <c r="BB2" s="363"/>
      <c r="BC2" s="362" t="s">
        <v>329</v>
      </c>
      <c r="BD2" s="362"/>
      <c r="BE2" s="362"/>
      <c r="BF2" s="362"/>
      <c r="BG2" s="363" t="s">
        <v>330</v>
      </c>
      <c r="BH2" s="363"/>
      <c r="BI2" s="363"/>
      <c r="BJ2" s="363"/>
      <c r="BK2" s="346" t="s">
        <v>331</v>
      </c>
      <c r="BL2" s="346"/>
      <c r="BM2" s="346"/>
      <c r="BN2" s="346"/>
      <c r="BO2" s="363" t="s">
        <v>332</v>
      </c>
      <c r="BP2" s="363"/>
      <c r="BQ2" s="363"/>
      <c r="BR2" s="363"/>
      <c r="BS2" s="362" t="s">
        <v>333</v>
      </c>
      <c r="BT2" s="362"/>
      <c r="BU2" s="362"/>
      <c r="BV2" s="362"/>
      <c r="BW2" s="363" t="s">
        <v>364</v>
      </c>
      <c r="BX2" s="363"/>
      <c r="BY2" s="363"/>
      <c r="BZ2" s="363"/>
      <c r="CA2" s="346" t="s">
        <v>334</v>
      </c>
      <c r="CB2" s="346"/>
      <c r="CC2" s="346"/>
      <c r="CD2" s="346"/>
      <c r="CE2" s="230"/>
      <c r="CF2" s="230"/>
    </row>
    <row r="3" spans="1:84" s="173" customFormat="1" ht="39" customHeight="1" x14ac:dyDescent="0.2">
      <c r="A3" s="223" t="s">
        <v>110</v>
      </c>
      <c r="B3" s="150" t="s">
        <v>307</v>
      </c>
      <c r="C3" s="150" t="s">
        <v>310</v>
      </c>
      <c r="D3" s="273" t="s">
        <v>308</v>
      </c>
      <c r="E3" s="273" t="s">
        <v>309</v>
      </c>
      <c r="F3" s="273" t="s">
        <v>311</v>
      </c>
      <c r="G3" s="273" t="s">
        <v>209</v>
      </c>
      <c r="H3" s="272" t="s">
        <v>374</v>
      </c>
      <c r="I3" s="272" t="s">
        <v>367</v>
      </c>
      <c r="J3" s="272" t="s">
        <v>368</v>
      </c>
      <c r="K3" s="272" t="s">
        <v>369</v>
      </c>
      <c r="L3" s="272" t="s">
        <v>370</v>
      </c>
      <c r="M3" s="169" t="s">
        <v>373</v>
      </c>
      <c r="N3" s="150" t="s">
        <v>306</v>
      </c>
      <c r="O3" s="210" t="s">
        <v>305</v>
      </c>
      <c r="P3" s="225" t="s">
        <v>312</v>
      </c>
      <c r="Q3" s="227" t="s">
        <v>317</v>
      </c>
      <c r="R3" s="227" t="s">
        <v>307</v>
      </c>
      <c r="S3" s="229" t="s">
        <v>318</v>
      </c>
      <c r="T3" s="229" t="s">
        <v>337</v>
      </c>
      <c r="U3" s="229" t="s">
        <v>338</v>
      </c>
      <c r="V3" s="228" t="s">
        <v>209</v>
      </c>
      <c r="W3" s="224" t="s">
        <v>319</v>
      </c>
      <c r="X3" s="152" t="s">
        <v>320</v>
      </c>
      <c r="Y3" s="152" t="s">
        <v>321</v>
      </c>
      <c r="Z3" s="232" t="s">
        <v>322</v>
      </c>
      <c r="AA3" s="243" t="s">
        <v>349</v>
      </c>
      <c r="AB3" s="244" t="s">
        <v>345</v>
      </c>
      <c r="AC3" s="245" t="s">
        <v>346</v>
      </c>
      <c r="AD3" s="155" t="s">
        <v>209</v>
      </c>
      <c r="AE3" s="247" t="s">
        <v>350</v>
      </c>
      <c r="AF3" s="246" t="s">
        <v>347</v>
      </c>
      <c r="AG3" s="200" t="s">
        <v>348</v>
      </c>
      <c r="AH3" s="247" t="s">
        <v>209</v>
      </c>
      <c r="AI3" s="251" t="s">
        <v>351</v>
      </c>
      <c r="AJ3" s="252" t="s">
        <v>345</v>
      </c>
      <c r="AK3" s="253" t="s">
        <v>346</v>
      </c>
      <c r="AL3" s="155" t="s">
        <v>209</v>
      </c>
      <c r="AM3" s="222" t="s">
        <v>352</v>
      </c>
      <c r="AN3" s="222" t="s">
        <v>353</v>
      </c>
      <c r="AO3" s="163" t="s">
        <v>354</v>
      </c>
      <c r="AP3" s="256" t="s">
        <v>209</v>
      </c>
      <c r="AQ3" s="253" t="s">
        <v>355</v>
      </c>
      <c r="AR3" s="259" t="s">
        <v>345</v>
      </c>
      <c r="AS3" s="250" t="s">
        <v>346</v>
      </c>
      <c r="AT3" s="258" t="s">
        <v>209</v>
      </c>
      <c r="AU3" s="263" t="s">
        <v>357</v>
      </c>
      <c r="AV3" s="263" t="s">
        <v>347</v>
      </c>
      <c r="AW3" s="264" t="s">
        <v>348</v>
      </c>
      <c r="AX3" s="265" t="s">
        <v>209</v>
      </c>
      <c r="AY3" s="269" t="s">
        <v>358</v>
      </c>
      <c r="AZ3" s="271" t="s">
        <v>345</v>
      </c>
      <c r="BA3" s="244" t="s">
        <v>346</v>
      </c>
      <c r="BB3" s="258" t="s">
        <v>209</v>
      </c>
      <c r="BC3" s="210" t="s">
        <v>359</v>
      </c>
      <c r="BD3" s="210" t="s">
        <v>353</v>
      </c>
      <c r="BE3" s="150" t="s">
        <v>354</v>
      </c>
      <c r="BF3" s="270" t="s">
        <v>209</v>
      </c>
      <c r="BG3" s="243" t="s">
        <v>360</v>
      </c>
      <c r="BH3" s="269" t="s">
        <v>345</v>
      </c>
      <c r="BI3" s="244" t="s">
        <v>346</v>
      </c>
      <c r="BJ3" s="258" t="s">
        <v>209</v>
      </c>
      <c r="BK3" s="263" t="s">
        <v>361</v>
      </c>
      <c r="BL3" s="263" t="s">
        <v>347</v>
      </c>
      <c r="BM3" s="264" t="s">
        <v>348</v>
      </c>
      <c r="BN3" s="265" t="s">
        <v>209</v>
      </c>
      <c r="BO3" s="269" t="s">
        <v>362</v>
      </c>
      <c r="BP3" s="269" t="s">
        <v>345</v>
      </c>
      <c r="BQ3" s="244" t="s">
        <v>346</v>
      </c>
      <c r="BR3" s="257" t="s">
        <v>209</v>
      </c>
      <c r="BS3" s="225" t="s">
        <v>363</v>
      </c>
      <c r="BT3" s="210" t="s">
        <v>353</v>
      </c>
      <c r="BU3" s="150" t="s">
        <v>354</v>
      </c>
      <c r="BV3" s="270" t="s">
        <v>209</v>
      </c>
      <c r="BW3" s="251" t="s">
        <v>365</v>
      </c>
      <c r="BX3" s="269" t="s">
        <v>345</v>
      </c>
      <c r="BY3" s="244" t="s">
        <v>346</v>
      </c>
      <c r="BZ3" s="257" t="s">
        <v>209</v>
      </c>
      <c r="CA3" s="263" t="s">
        <v>366</v>
      </c>
      <c r="CB3" s="262" t="s">
        <v>347</v>
      </c>
      <c r="CC3" s="261" t="s">
        <v>348</v>
      </c>
      <c r="CD3" s="265" t="s">
        <v>209</v>
      </c>
      <c r="CE3" s="224" t="s">
        <v>335</v>
      </c>
      <c r="CF3" s="152" t="s">
        <v>336</v>
      </c>
    </row>
    <row r="4" spans="1:84" x14ac:dyDescent="0.25">
      <c r="A4" s="104"/>
      <c r="B4" s="103"/>
      <c r="C4" s="212"/>
      <c r="D4" s="274"/>
      <c r="E4" s="274"/>
      <c r="F4" s="274"/>
      <c r="G4" s="274"/>
      <c r="H4" s="217"/>
      <c r="I4" s="217"/>
      <c r="J4" s="217"/>
      <c r="K4" s="217"/>
      <c r="L4" s="217"/>
      <c r="M4" s="216"/>
      <c r="N4" s="103"/>
      <c r="O4" s="215"/>
      <c r="P4" s="119"/>
      <c r="Q4" s="154"/>
      <c r="R4" s="154"/>
      <c r="S4" s="226"/>
      <c r="T4" s="226"/>
      <c r="U4" s="226"/>
      <c r="V4" s="154"/>
      <c r="W4" s="1"/>
      <c r="X4" s="1"/>
      <c r="Y4" s="1"/>
      <c r="Z4" s="1"/>
      <c r="AA4" s="234"/>
      <c r="AB4" s="148"/>
      <c r="AC4" s="234"/>
      <c r="AD4" s="148"/>
      <c r="AE4" s="236"/>
      <c r="AH4" s="236"/>
      <c r="AI4" s="248"/>
      <c r="AJ4" s="148"/>
      <c r="AK4" s="234"/>
      <c r="AL4" s="148"/>
      <c r="AM4" s="254"/>
      <c r="AP4" s="254"/>
      <c r="AQ4" s="248"/>
      <c r="AR4" s="260"/>
      <c r="AS4" s="148"/>
      <c r="AT4" s="234"/>
      <c r="AU4" s="238"/>
      <c r="AX4" s="236"/>
      <c r="AY4" s="266"/>
      <c r="AZ4" s="260"/>
      <c r="BA4" s="148"/>
      <c r="BB4" s="234"/>
      <c r="BC4" s="119"/>
      <c r="BF4" s="254"/>
      <c r="BG4" s="248"/>
      <c r="BH4" s="260"/>
      <c r="BI4" s="148"/>
      <c r="BJ4" s="234"/>
      <c r="BK4" s="238"/>
      <c r="BN4" s="236"/>
      <c r="BO4" s="260"/>
      <c r="BP4" s="260"/>
      <c r="BQ4" s="148"/>
      <c r="BR4" s="234"/>
      <c r="BS4" s="119"/>
      <c r="BV4" s="254"/>
      <c r="BW4" s="248"/>
      <c r="BX4" s="260"/>
      <c r="BY4" s="148"/>
      <c r="BZ4" s="234"/>
      <c r="CA4" s="238"/>
      <c r="CD4" s="236"/>
      <c r="CE4" s="233"/>
      <c r="CF4" s="1"/>
    </row>
    <row r="5" spans="1:84" x14ac:dyDescent="0.25">
      <c r="A5" s="118" t="s">
        <v>11</v>
      </c>
      <c r="B5" s="56" t="s">
        <v>135</v>
      </c>
      <c r="C5" s="120"/>
      <c r="D5" s="275"/>
      <c r="E5" s="275"/>
      <c r="F5" s="275"/>
      <c r="G5" s="275"/>
      <c r="H5" s="218"/>
      <c r="I5" s="218"/>
      <c r="J5" s="218"/>
      <c r="K5" s="218"/>
      <c r="L5" s="218"/>
      <c r="M5" s="128">
        <v>1</v>
      </c>
      <c r="N5" s="56"/>
      <c r="O5" s="211"/>
      <c r="P5" s="119"/>
      <c r="Q5" s="154"/>
      <c r="R5" s="154"/>
      <c r="S5" s="226"/>
      <c r="T5" s="226"/>
      <c r="U5" s="226"/>
      <c r="V5" s="154"/>
      <c r="W5" s="1"/>
      <c r="X5" s="1"/>
      <c r="Y5" s="1"/>
      <c r="Z5" s="1"/>
      <c r="AA5" s="234"/>
      <c r="AB5" s="148"/>
      <c r="AC5" s="234"/>
      <c r="AD5" s="148"/>
      <c r="AE5" s="236"/>
      <c r="AH5" s="236"/>
      <c r="AI5" s="248"/>
      <c r="AJ5" s="148"/>
      <c r="AK5" s="234"/>
      <c r="AL5" s="148"/>
      <c r="AM5" s="254"/>
      <c r="AP5" s="254"/>
      <c r="AQ5" s="248"/>
      <c r="AR5" s="260"/>
      <c r="AS5" s="148"/>
      <c r="AT5" s="234"/>
      <c r="AU5" s="238"/>
      <c r="AX5" s="236"/>
      <c r="AY5" s="266"/>
      <c r="AZ5" s="260"/>
      <c r="BA5" s="148"/>
      <c r="BB5" s="234"/>
      <c r="BC5" s="119"/>
      <c r="BF5" s="254"/>
      <c r="BG5" s="248"/>
      <c r="BH5" s="260"/>
      <c r="BI5" s="148"/>
      <c r="BJ5" s="234"/>
      <c r="BK5" s="238"/>
      <c r="BN5" s="236"/>
      <c r="BO5" s="260"/>
      <c r="BP5" s="260"/>
      <c r="BQ5" s="148"/>
      <c r="BR5" s="234"/>
      <c r="BS5" s="119"/>
      <c r="BV5" s="254"/>
      <c r="BW5" s="248"/>
      <c r="BX5" s="260"/>
      <c r="BY5" s="148"/>
      <c r="BZ5" s="234"/>
      <c r="CA5" s="238"/>
      <c r="CD5" s="236"/>
      <c r="CE5" s="233"/>
      <c r="CF5" s="1"/>
    </row>
    <row r="6" spans="1:84" x14ac:dyDescent="0.25">
      <c r="A6" s="118" t="s">
        <v>13</v>
      </c>
      <c r="B6" s="56" t="s">
        <v>148</v>
      </c>
      <c r="C6" s="120"/>
      <c r="D6" s="275"/>
      <c r="E6" s="275"/>
      <c r="F6" s="275"/>
      <c r="G6" s="275"/>
      <c r="H6" s="218"/>
      <c r="I6" s="218"/>
      <c r="J6" s="218"/>
      <c r="K6" s="218"/>
      <c r="L6" s="218"/>
      <c r="M6" s="128">
        <v>1</v>
      </c>
      <c r="N6" s="56"/>
      <c r="O6" s="211"/>
      <c r="P6" s="119"/>
      <c r="Q6" s="154"/>
      <c r="R6" s="154"/>
      <c r="S6" s="226"/>
      <c r="T6" s="226"/>
      <c r="U6" s="226"/>
      <c r="V6" s="154"/>
      <c r="W6" s="1"/>
      <c r="X6" s="1"/>
      <c r="Y6" s="1"/>
      <c r="Z6" s="1"/>
      <c r="AA6" s="234"/>
      <c r="AB6" s="148"/>
      <c r="AC6" s="234"/>
      <c r="AD6" s="148"/>
      <c r="AE6" s="236"/>
      <c r="AH6" s="236"/>
      <c r="AI6" s="248"/>
      <c r="AJ6" s="148"/>
      <c r="AK6" s="234"/>
      <c r="AL6" s="148"/>
      <c r="AM6" s="254"/>
      <c r="AP6" s="254"/>
      <c r="AQ6" s="248"/>
      <c r="AR6" s="260"/>
      <c r="AS6" s="148"/>
      <c r="AT6" s="234"/>
      <c r="AU6" s="238"/>
      <c r="AX6" s="236"/>
      <c r="AY6" s="266"/>
      <c r="AZ6" s="260"/>
      <c r="BA6" s="148"/>
      <c r="BB6" s="234"/>
      <c r="BC6" s="119"/>
      <c r="BF6" s="254"/>
      <c r="BG6" s="248"/>
      <c r="BH6" s="260"/>
      <c r="BI6" s="148"/>
      <c r="BJ6" s="234"/>
      <c r="BK6" s="238"/>
      <c r="BN6" s="236"/>
      <c r="BO6" s="260"/>
      <c r="BP6" s="260"/>
      <c r="BQ6" s="148"/>
      <c r="BR6" s="234"/>
      <c r="BS6" s="119"/>
      <c r="BV6" s="254"/>
      <c r="BW6" s="248"/>
      <c r="BX6" s="260"/>
      <c r="BY6" s="148"/>
      <c r="BZ6" s="234"/>
      <c r="CA6" s="238"/>
      <c r="CD6" s="236"/>
      <c r="CE6" s="233"/>
      <c r="CF6" s="1"/>
    </row>
    <row r="7" spans="1:84" x14ac:dyDescent="0.25">
      <c r="A7" s="118" t="s">
        <v>14</v>
      </c>
      <c r="B7" s="56" t="s">
        <v>149</v>
      </c>
      <c r="C7" s="120"/>
      <c r="D7" s="275"/>
      <c r="E7" s="275"/>
      <c r="F7" s="275"/>
      <c r="G7" s="275"/>
      <c r="H7" s="218"/>
      <c r="I7" s="218"/>
      <c r="J7" s="218"/>
      <c r="K7" s="218"/>
      <c r="L7" s="218"/>
      <c r="M7" s="128">
        <v>1</v>
      </c>
      <c r="N7" s="56"/>
      <c r="O7" s="211"/>
      <c r="P7" s="119"/>
      <c r="Q7" s="154"/>
      <c r="R7" s="154"/>
      <c r="S7" s="226"/>
      <c r="T7" s="226"/>
      <c r="U7" s="226"/>
      <c r="V7" s="154"/>
      <c r="W7" s="1"/>
      <c r="X7" s="1"/>
      <c r="Y7" s="1"/>
      <c r="Z7" s="1"/>
      <c r="AA7" s="234"/>
      <c r="AB7" s="148"/>
      <c r="AC7" s="234"/>
      <c r="AD7" s="148"/>
      <c r="AE7" s="236"/>
      <c r="AH7" s="236"/>
      <c r="AI7" s="248"/>
      <c r="AJ7" s="148"/>
      <c r="AK7" s="234"/>
      <c r="AL7" s="148"/>
      <c r="AM7" s="254"/>
      <c r="AP7" s="254"/>
      <c r="AQ7" s="248"/>
      <c r="AR7" s="260"/>
      <c r="AS7" s="148"/>
      <c r="AT7" s="234"/>
      <c r="AU7" s="238"/>
      <c r="AX7" s="236"/>
      <c r="AY7" s="266"/>
      <c r="AZ7" s="260"/>
      <c r="BA7" s="148"/>
      <c r="BB7" s="234"/>
      <c r="BC7" s="119"/>
      <c r="BF7" s="254"/>
      <c r="BG7" s="248"/>
      <c r="BH7" s="260"/>
      <c r="BI7" s="148"/>
      <c r="BJ7" s="234"/>
      <c r="BK7" s="238"/>
      <c r="BN7" s="236"/>
      <c r="BO7" s="260"/>
      <c r="BP7" s="260"/>
      <c r="BQ7" s="148"/>
      <c r="BR7" s="234"/>
      <c r="BS7" s="119"/>
      <c r="BV7" s="254"/>
      <c r="BW7" s="248"/>
      <c r="BX7" s="260"/>
      <c r="BY7" s="148"/>
      <c r="BZ7" s="234"/>
      <c r="CA7" s="238"/>
      <c r="CD7" s="236"/>
      <c r="CE7" s="233"/>
      <c r="CF7" s="1"/>
    </row>
    <row r="8" spans="1:84" x14ac:dyDescent="0.25">
      <c r="A8" s="118" t="s">
        <v>15</v>
      </c>
      <c r="B8" s="56" t="s">
        <v>151</v>
      </c>
      <c r="C8" s="120"/>
      <c r="D8" s="275"/>
      <c r="E8" s="275"/>
      <c r="F8" s="275"/>
      <c r="G8" s="275"/>
      <c r="H8" s="218"/>
      <c r="I8" s="218"/>
      <c r="J8" s="218"/>
      <c r="K8" s="218"/>
      <c r="L8" s="218"/>
      <c r="M8" s="128">
        <v>1</v>
      </c>
      <c r="N8" s="56"/>
      <c r="O8" s="211"/>
      <c r="P8" s="119"/>
      <c r="Q8" s="154"/>
      <c r="R8" s="154"/>
      <c r="S8" s="226"/>
      <c r="T8" s="226"/>
      <c r="U8" s="226"/>
      <c r="V8" s="154"/>
      <c r="W8" s="1"/>
      <c r="X8" s="1"/>
      <c r="Y8" s="1"/>
      <c r="Z8" s="1"/>
      <c r="AA8" s="234"/>
      <c r="AB8" s="148"/>
      <c r="AC8" s="234"/>
      <c r="AD8" s="148"/>
      <c r="AE8" s="236"/>
      <c r="AH8" s="236"/>
      <c r="AI8" s="248"/>
      <c r="AJ8" s="148"/>
      <c r="AK8" s="234"/>
      <c r="AL8" s="148"/>
      <c r="AM8" s="254"/>
      <c r="AP8" s="254"/>
      <c r="AQ8" s="248"/>
      <c r="AR8" s="260"/>
      <c r="AS8" s="148"/>
      <c r="AT8" s="234"/>
      <c r="AU8" s="238"/>
      <c r="AX8" s="236"/>
      <c r="AY8" s="266"/>
      <c r="AZ8" s="260"/>
      <c r="BA8" s="148"/>
      <c r="BB8" s="234"/>
      <c r="BC8" s="119"/>
      <c r="BF8" s="254"/>
      <c r="BG8" s="248"/>
      <c r="BH8" s="260"/>
      <c r="BI8" s="148"/>
      <c r="BJ8" s="234"/>
      <c r="BK8" s="238"/>
      <c r="BN8" s="236"/>
      <c r="BO8" s="260"/>
      <c r="BP8" s="260"/>
      <c r="BQ8" s="148"/>
      <c r="BR8" s="234"/>
      <c r="BS8" s="119"/>
      <c r="BV8" s="254"/>
      <c r="BW8" s="248"/>
      <c r="BX8" s="260"/>
      <c r="BY8" s="148"/>
      <c r="BZ8" s="234"/>
      <c r="CA8" s="238"/>
      <c r="CD8" s="236"/>
      <c r="CE8" s="233"/>
      <c r="CF8" s="1"/>
    </row>
    <row r="9" spans="1:84" x14ac:dyDescent="0.25">
      <c r="A9" s="118" t="s">
        <v>16</v>
      </c>
      <c r="B9" s="56" t="s">
        <v>135</v>
      </c>
      <c r="C9" s="120"/>
      <c r="D9" s="275"/>
      <c r="E9" s="275"/>
      <c r="F9" s="275"/>
      <c r="G9" s="275"/>
      <c r="H9" s="218"/>
      <c r="I9" s="218"/>
      <c r="J9" s="218"/>
      <c r="K9" s="218"/>
      <c r="L9" s="218"/>
      <c r="M9" s="128">
        <v>1</v>
      </c>
      <c r="N9" s="56"/>
      <c r="O9" s="211"/>
      <c r="P9" s="119"/>
      <c r="Q9" s="154"/>
      <c r="R9" s="154"/>
      <c r="S9" s="226"/>
      <c r="T9" s="226"/>
      <c r="U9" s="226"/>
      <c r="V9" s="154"/>
      <c r="W9" s="1"/>
      <c r="X9" s="1"/>
      <c r="Y9" s="1"/>
      <c r="Z9" s="1"/>
      <c r="AA9" s="234"/>
      <c r="AB9" s="148"/>
      <c r="AC9" s="234"/>
      <c r="AD9" s="148"/>
      <c r="AE9" s="236"/>
      <c r="AH9" s="236"/>
      <c r="AI9" s="248"/>
      <c r="AJ9" s="148"/>
      <c r="AK9" s="234"/>
      <c r="AL9" s="148"/>
      <c r="AM9" s="254"/>
      <c r="AP9" s="254"/>
      <c r="AQ9" s="248"/>
      <c r="AR9" s="260"/>
      <c r="AS9" s="148"/>
      <c r="AT9" s="234"/>
      <c r="AU9" s="238"/>
      <c r="AX9" s="236"/>
      <c r="AY9" s="266"/>
      <c r="AZ9" s="260"/>
      <c r="BA9" s="148"/>
      <c r="BB9" s="234"/>
      <c r="BC9" s="119"/>
      <c r="BF9" s="254"/>
      <c r="BG9" s="248"/>
      <c r="BH9" s="260"/>
      <c r="BI9" s="148"/>
      <c r="BJ9" s="234"/>
      <c r="BK9" s="238"/>
      <c r="BN9" s="236"/>
      <c r="BO9" s="260"/>
      <c r="BP9" s="260"/>
      <c r="BQ9" s="148"/>
      <c r="BR9" s="234"/>
      <c r="BS9" s="119"/>
      <c r="BV9" s="254"/>
      <c r="BW9" s="248"/>
      <c r="BX9" s="260"/>
      <c r="BY9" s="148"/>
      <c r="BZ9" s="234"/>
      <c r="CA9" s="238"/>
      <c r="CD9" s="236"/>
      <c r="CE9" s="233"/>
      <c r="CF9" s="1"/>
    </row>
    <row r="10" spans="1:84" x14ac:dyDescent="0.25">
      <c r="A10" s="118" t="s">
        <v>17</v>
      </c>
      <c r="B10" s="56" t="s">
        <v>135</v>
      </c>
      <c r="C10" s="120"/>
      <c r="D10" s="275"/>
      <c r="E10" s="275"/>
      <c r="F10" s="275"/>
      <c r="G10" s="275"/>
      <c r="H10" s="218"/>
      <c r="I10" s="218"/>
      <c r="J10" s="218"/>
      <c r="K10" s="218"/>
      <c r="L10" s="218"/>
      <c r="M10" s="128">
        <v>1</v>
      </c>
      <c r="N10" s="56"/>
      <c r="O10" s="149"/>
      <c r="P10" s="119"/>
      <c r="Q10" s="154"/>
      <c r="R10" s="154"/>
      <c r="S10" s="226"/>
      <c r="T10" s="226"/>
      <c r="U10" s="226"/>
      <c r="V10" s="154"/>
      <c r="W10" s="1"/>
      <c r="X10" s="1"/>
      <c r="Y10" s="1"/>
      <c r="Z10" s="1"/>
      <c r="AA10" s="234"/>
      <c r="AB10" s="148"/>
      <c r="AC10" s="234"/>
      <c r="AD10" s="148"/>
      <c r="AE10" s="236"/>
      <c r="AH10" s="236"/>
      <c r="AI10" s="248"/>
      <c r="AJ10" s="148"/>
      <c r="AK10" s="234"/>
      <c r="AL10" s="148"/>
      <c r="AM10" s="254"/>
      <c r="AP10" s="254"/>
      <c r="AQ10" s="248"/>
      <c r="AR10" s="260"/>
      <c r="AS10" s="148"/>
      <c r="AT10" s="234"/>
      <c r="AU10" s="238"/>
      <c r="AX10" s="236"/>
      <c r="AY10" s="266"/>
      <c r="AZ10" s="260"/>
      <c r="BA10" s="148"/>
      <c r="BB10" s="234"/>
      <c r="BC10" s="119"/>
      <c r="BF10" s="254"/>
      <c r="BG10" s="248"/>
      <c r="BH10" s="260"/>
      <c r="BI10" s="148"/>
      <c r="BJ10" s="234"/>
      <c r="BK10" s="238"/>
      <c r="BN10" s="236"/>
      <c r="BO10" s="260"/>
      <c r="BP10" s="260"/>
      <c r="BQ10" s="148"/>
      <c r="BR10" s="234"/>
      <c r="BS10" s="119"/>
      <c r="BV10" s="254"/>
      <c r="BW10" s="248"/>
      <c r="BX10" s="260"/>
      <c r="BY10" s="148"/>
      <c r="BZ10" s="234"/>
      <c r="CA10" s="238"/>
      <c r="CD10" s="236"/>
      <c r="CE10" s="233"/>
      <c r="CF10" s="1"/>
    </row>
    <row r="11" spans="1:84" x14ac:dyDescent="0.25">
      <c r="A11" s="118" t="s">
        <v>18</v>
      </c>
      <c r="B11" s="56" t="s">
        <v>135</v>
      </c>
      <c r="C11" s="120"/>
      <c r="D11" s="275"/>
      <c r="E11" s="275"/>
      <c r="F11" s="275"/>
      <c r="G11" s="275"/>
      <c r="H11" s="218"/>
      <c r="I11" s="218"/>
      <c r="J11" s="218"/>
      <c r="K11" s="218"/>
      <c r="L11" s="218"/>
      <c r="M11" s="128">
        <v>1</v>
      </c>
      <c r="N11" s="56"/>
      <c r="O11" s="211"/>
      <c r="P11" s="119"/>
      <c r="Q11" s="154"/>
      <c r="R11" s="154"/>
      <c r="S11" s="226"/>
      <c r="T11" s="226"/>
      <c r="U11" s="226"/>
      <c r="V11" s="154"/>
      <c r="W11" s="1"/>
      <c r="X11" s="1"/>
      <c r="Y11" s="1"/>
      <c r="Z11" s="1"/>
      <c r="AA11" s="234"/>
      <c r="AB11" s="148"/>
      <c r="AC11" s="234"/>
      <c r="AD11" s="148"/>
      <c r="AE11" s="236"/>
      <c r="AH11" s="236"/>
      <c r="AI11" s="248"/>
      <c r="AJ11" s="148"/>
      <c r="AK11" s="234"/>
      <c r="AL11" s="148"/>
      <c r="AM11" s="254"/>
      <c r="AP11" s="254"/>
      <c r="AQ11" s="248"/>
      <c r="AR11" s="260"/>
      <c r="AS11" s="148"/>
      <c r="AT11" s="234"/>
      <c r="AU11" s="238"/>
      <c r="AX11" s="236"/>
      <c r="AY11" s="266"/>
      <c r="AZ11" s="260"/>
      <c r="BA11" s="148"/>
      <c r="BB11" s="234"/>
      <c r="BC11" s="119"/>
      <c r="BF11" s="254"/>
      <c r="BG11" s="248"/>
      <c r="BH11" s="260"/>
      <c r="BI11" s="148"/>
      <c r="BJ11" s="234"/>
      <c r="BK11" s="238"/>
      <c r="BN11" s="236"/>
      <c r="BO11" s="260"/>
      <c r="BP11" s="260"/>
      <c r="BQ11" s="148"/>
      <c r="BR11" s="234"/>
      <c r="BS11" s="119"/>
      <c r="BV11" s="254"/>
      <c r="BW11" s="248"/>
      <c r="BX11" s="260"/>
      <c r="BY11" s="148"/>
      <c r="BZ11" s="234"/>
      <c r="CA11" s="238"/>
      <c r="CD11" s="236"/>
      <c r="CE11" s="233"/>
      <c r="CF11" s="1"/>
    </row>
    <row r="12" spans="1:84" x14ac:dyDescent="0.25">
      <c r="A12" s="118" t="s">
        <v>19</v>
      </c>
      <c r="B12" s="56" t="s">
        <v>135</v>
      </c>
      <c r="C12" s="120"/>
      <c r="D12" s="275"/>
      <c r="E12" s="275"/>
      <c r="F12" s="275"/>
      <c r="G12" s="275"/>
      <c r="H12" s="218"/>
      <c r="I12" s="218"/>
      <c r="J12" s="218"/>
      <c r="K12" s="218"/>
      <c r="L12" s="218"/>
      <c r="M12" s="128">
        <v>1</v>
      </c>
      <c r="N12" s="56"/>
      <c r="O12" s="211"/>
      <c r="P12" s="119"/>
      <c r="Q12" s="154"/>
      <c r="R12" s="154"/>
      <c r="S12" s="226"/>
      <c r="T12" s="226"/>
      <c r="U12" s="226"/>
      <c r="V12" s="154"/>
      <c r="W12" s="1"/>
      <c r="X12" s="1"/>
      <c r="Y12" s="1"/>
      <c r="Z12" s="1"/>
      <c r="AA12" s="234"/>
      <c r="AB12" s="148"/>
      <c r="AC12" s="234"/>
      <c r="AD12" s="148"/>
      <c r="AE12" s="236"/>
      <c r="AH12" s="236"/>
      <c r="AI12" s="248"/>
      <c r="AJ12" s="148"/>
      <c r="AK12" s="234"/>
      <c r="AL12" s="148"/>
      <c r="AM12" s="254"/>
      <c r="AP12" s="254"/>
      <c r="AQ12" s="248"/>
      <c r="AR12" s="260"/>
      <c r="AS12" s="148"/>
      <c r="AT12" s="234"/>
      <c r="AU12" s="238"/>
      <c r="AX12" s="236"/>
      <c r="AY12" s="266"/>
      <c r="AZ12" s="260"/>
      <c r="BA12" s="148"/>
      <c r="BB12" s="234"/>
      <c r="BC12" s="119"/>
      <c r="BF12" s="254"/>
      <c r="BG12" s="248"/>
      <c r="BH12" s="260"/>
      <c r="BI12" s="148"/>
      <c r="BJ12" s="234"/>
      <c r="BK12" s="238"/>
      <c r="BN12" s="236"/>
      <c r="BO12" s="260"/>
      <c r="BP12" s="260"/>
      <c r="BQ12" s="148"/>
      <c r="BR12" s="234"/>
      <c r="BS12" s="119"/>
      <c r="BV12" s="254"/>
      <c r="BW12" s="248"/>
      <c r="BX12" s="260"/>
      <c r="BY12" s="148"/>
      <c r="BZ12" s="234"/>
      <c r="CA12" s="238"/>
      <c r="CD12" s="236"/>
      <c r="CE12" s="233"/>
      <c r="CF12" s="1"/>
    </row>
    <row r="13" spans="1:84" x14ac:dyDescent="0.25">
      <c r="A13" s="118" t="s">
        <v>20</v>
      </c>
      <c r="B13" s="56" t="s">
        <v>151</v>
      </c>
      <c r="C13" s="120"/>
      <c r="D13" s="275"/>
      <c r="E13" s="275"/>
      <c r="F13" s="275"/>
      <c r="G13" s="275"/>
      <c r="H13" s="218"/>
      <c r="I13" s="218"/>
      <c r="J13" s="218"/>
      <c r="K13" s="218"/>
      <c r="L13" s="218"/>
      <c r="M13" s="128">
        <v>1</v>
      </c>
      <c r="N13" s="56"/>
      <c r="O13" s="211"/>
      <c r="P13" s="119"/>
      <c r="Q13" s="154"/>
      <c r="R13" s="154"/>
      <c r="S13" s="226"/>
      <c r="T13" s="226"/>
      <c r="U13" s="226"/>
      <c r="V13" s="154"/>
      <c r="W13" s="1"/>
      <c r="X13" s="1"/>
      <c r="Y13" s="1"/>
      <c r="Z13" s="1"/>
      <c r="AA13" s="234"/>
      <c r="AB13" s="148"/>
      <c r="AC13" s="234"/>
      <c r="AD13" s="148"/>
      <c r="AE13" s="236"/>
      <c r="AH13" s="236"/>
      <c r="AI13" s="248"/>
      <c r="AJ13" s="148"/>
      <c r="AK13" s="234"/>
      <c r="AL13" s="148"/>
      <c r="AM13" s="254"/>
      <c r="AP13" s="254"/>
      <c r="AQ13" s="248"/>
      <c r="AR13" s="260"/>
      <c r="AS13" s="148"/>
      <c r="AT13" s="234"/>
      <c r="AU13" s="238"/>
      <c r="AX13" s="236"/>
      <c r="AY13" s="266"/>
      <c r="AZ13" s="260"/>
      <c r="BA13" s="148"/>
      <c r="BB13" s="234"/>
      <c r="BC13" s="119"/>
      <c r="BF13" s="254"/>
      <c r="BG13" s="248"/>
      <c r="BH13" s="260"/>
      <c r="BI13" s="148"/>
      <c r="BJ13" s="234"/>
      <c r="BK13" s="238"/>
      <c r="BN13" s="236"/>
      <c r="BO13" s="260"/>
      <c r="BP13" s="260"/>
      <c r="BQ13" s="148"/>
      <c r="BR13" s="234"/>
      <c r="BS13" s="119"/>
      <c r="BV13" s="254"/>
      <c r="BW13" s="248"/>
      <c r="BX13" s="260"/>
      <c r="BY13" s="148"/>
      <c r="BZ13" s="234"/>
      <c r="CA13" s="238"/>
      <c r="CD13" s="236"/>
      <c r="CE13" s="233"/>
      <c r="CF13" s="1"/>
    </row>
    <row r="14" spans="1:84" x14ac:dyDescent="0.25">
      <c r="A14" s="118" t="s">
        <v>21</v>
      </c>
      <c r="B14" s="56" t="s">
        <v>151</v>
      </c>
      <c r="C14" s="120"/>
      <c r="D14" s="275"/>
      <c r="E14" s="275"/>
      <c r="F14" s="275"/>
      <c r="G14" s="275"/>
      <c r="H14" s="218"/>
      <c r="I14" s="218"/>
      <c r="J14" s="218"/>
      <c r="K14" s="218"/>
      <c r="L14" s="218"/>
      <c r="M14" s="128">
        <v>1</v>
      </c>
      <c r="N14" s="56"/>
      <c r="O14" s="211"/>
      <c r="P14" s="119"/>
      <c r="Q14" s="154"/>
      <c r="R14" s="154"/>
      <c r="S14" s="226"/>
      <c r="T14" s="226"/>
      <c r="U14" s="226"/>
      <c r="V14" s="154"/>
      <c r="W14" s="1"/>
      <c r="X14" s="1"/>
      <c r="Y14" s="1"/>
      <c r="Z14" s="1"/>
      <c r="AA14" s="234"/>
      <c r="AB14" s="148"/>
      <c r="AC14" s="234"/>
      <c r="AD14" s="148"/>
      <c r="AE14" s="236"/>
      <c r="AH14" s="236"/>
      <c r="AI14" s="248"/>
      <c r="AJ14" s="148"/>
      <c r="AK14" s="234"/>
      <c r="AL14" s="148"/>
      <c r="AM14" s="254"/>
      <c r="AP14" s="254"/>
      <c r="AQ14" s="248"/>
      <c r="AR14" s="260"/>
      <c r="AS14" s="148"/>
      <c r="AT14" s="234"/>
      <c r="AU14" s="238"/>
      <c r="AX14" s="236"/>
      <c r="AY14" s="266"/>
      <c r="AZ14" s="260"/>
      <c r="BA14" s="148"/>
      <c r="BB14" s="234"/>
      <c r="BC14" s="119"/>
      <c r="BF14" s="254"/>
      <c r="BG14" s="248"/>
      <c r="BH14" s="260"/>
      <c r="BI14" s="148"/>
      <c r="BJ14" s="234"/>
      <c r="BK14" s="238"/>
      <c r="BN14" s="236"/>
      <c r="BO14" s="260"/>
      <c r="BP14" s="260"/>
      <c r="BQ14" s="148"/>
      <c r="BR14" s="234"/>
      <c r="BS14" s="119"/>
      <c r="BV14" s="254"/>
      <c r="BW14" s="248"/>
      <c r="BX14" s="260"/>
      <c r="BY14" s="148"/>
      <c r="BZ14" s="234"/>
      <c r="CA14" s="238"/>
      <c r="CD14" s="236"/>
      <c r="CE14" s="233"/>
      <c r="CF14" s="1"/>
    </row>
    <row r="15" spans="1:84" x14ac:dyDescent="0.25">
      <c r="A15" s="118" t="s">
        <v>22</v>
      </c>
      <c r="B15" s="56" t="s">
        <v>151</v>
      </c>
      <c r="C15" s="120"/>
      <c r="D15" s="275"/>
      <c r="E15" s="275"/>
      <c r="F15" s="275"/>
      <c r="G15" s="275"/>
      <c r="H15" s="218"/>
      <c r="I15" s="218"/>
      <c r="J15" s="218"/>
      <c r="K15" s="218"/>
      <c r="L15" s="218"/>
      <c r="M15" s="128">
        <v>1</v>
      </c>
      <c r="N15" s="56"/>
      <c r="O15" s="211"/>
      <c r="P15" s="119"/>
      <c r="Q15" s="154"/>
      <c r="R15" s="154"/>
      <c r="S15" s="226"/>
      <c r="T15" s="226"/>
      <c r="U15" s="226"/>
      <c r="V15" s="154"/>
      <c r="W15" s="1"/>
      <c r="X15" s="1"/>
      <c r="Y15" s="1"/>
      <c r="Z15" s="1"/>
      <c r="AA15" s="234"/>
      <c r="AB15" s="148"/>
      <c r="AC15" s="234"/>
      <c r="AD15" s="148"/>
      <c r="AE15" s="236"/>
      <c r="AH15" s="236"/>
      <c r="AI15" s="248"/>
      <c r="AJ15" s="148"/>
      <c r="AK15" s="234"/>
      <c r="AL15" s="148"/>
      <c r="AM15" s="254"/>
      <c r="AP15" s="254"/>
      <c r="AQ15" s="248"/>
      <c r="AR15" s="260"/>
      <c r="AS15" s="148"/>
      <c r="AT15" s="234"/>
      <c r="AU15" s="238"/>
      <c r="AX15" s="236"/>
      <c r="AY15" s="266"/>
      <c r="AZ15" s="260"/>
      <c r="BA15" s="148"/>
      <c r="BB15" s="234"/>
      <c r="BC15" s="119"/>
      <c r="BF15" s="254"/>
      <c r="BG15" s="248"/>
      <c r="BH15" s="260"/>
      <c r="BI15" s="148"/>
      <c r="BJ15" s="234"/>
      <c r="BK15" s="238"/>
      <c r="BN15" s="236"/>
      <c r="BO15" s="260"/>
      <c r="BP15" s="260"/>
      <c r="BQ15" s="148"/>
      <c r="BR15" s="234"/>
      <c r="BS15" s="119"/>
      <c r="BV15" s="254"/>
      <c r="BW15" s="248"/>
      <c r="BX15" s="260"/>
      <c r="BY15" s="148"/>
      <c r="BZ15" s="234"/>
      <c r="CA15" s="238"/>
      <c r="CD15" s="236"/>
      <c r="CE15" s="233"/>
      <c r="CF15" s="1"/>
    </row>
    <row r="16" spans="1:84" x14ac:dyDescent="0.25">
      <c r="A16" s="118" t="s">
        <v>23</v>
      </c>
      <c r="B16" s="56" t="s">
        <v>135</v>
      </c>
      <c r="C16" s="120"/>
      <c r="D16" s="275"/>
      <c r="E16" s="275"/>
      <c r="F16" s="275"/>
      <c r="G16" s="275"/>
      <c r="H16" s="218"/>
      <c r="I16" s="218"/>
      <c r="J16" s="218"/>
      <c r="K16" s="218"/>
      <c r="L16" s="218"/>
      <c r="M16" s="128">
        <v>1</v>
      </c>
      <c r="N16" s="56"/>
      <c r="O16" s="211"/>
      <c r="P16" s="119"/>
      <c r="Q16" s="154"/>
      <c r="R16" s="154"/>
      <c r="S16" s="226"/>
      <c r="T16" s="226"/>
      <c r="U16" s="226"/>
      <c r="V16" s="154"/>
      <c r="W16" s="1"/>
      <c r="X16" s="1"/>
      <c r="Y16" s="1"/>
      <c r="Z16" s="1"/>
      <c r="AA16" s="234"/>
      <c r="AB16" s="148"/>
      <c r="AC16" s="234"/>
      <c r="AD16" s="148"/>
      <c r="AE16" s="236"/>
      <c r="AH16" s="236"/>
      <c r="AI16" s="248"/>
      <c r="AJ16" s="148"/>
      <c r="AK16" s="234"/>
      <c r="AL16" s="148"/>
      <c r="AM16" s="254"/>
      <c r="AP16" s="254"/>
      <c r="AQ16" s="248"/>
      <c r="AR16" s="260"/>
      <c r="AS16" s="148"/>
      <c r="AT16" s="234"/>
      <c r="AU16" s="238"/>
      <c r="AX16" s="236"/>
      <c r="AY16" s="266"/>
      <c r="AZ16" s="260"/>
      <c r="BA16" s="148"/>
      <c r="BB16" s="234"/>
      <c r="BC16" s="119"/>
      <c r="BF16" s="254"/>
      <c r="BG16" s="248"/>
      <c r="BH16" s="260"/>
      <c r="BI16" s="148"/>
      <c r="BJ16" s="234"/>
      <c r="BK16" s="238"/>
      <c r="BN16" s="236"/>
      <c r="BO16" s="260"/>
      <c r="BP16" s="260"/>
      <c r="BQ16" s="148"/>
      <c r="BR16" s="234"/>
      <c r="BS16" s="119"/>
      <c r="BV16" s="254"/>
      <c r="BW16" s="248"/>
      <c r="BX16" s="260"/>
      <c r="BY16" s="148"/>
      <c r="BZ16" s="234"/>
      <c r="CA16" s="238"/>
      <c r="CD16" s="236"/>
      <c r="CE16" s="233"/>
      <c r="CF16" s="1"/>
    </row>
    <row r="17" spans="1:84" x14ac:dyDescent="0.25">
      <c r="A17" s="118" t="s">
        <v>24</v>
      </c>
      <c r="B17" s="56" t="s">
        <v>135</v>
      </c>
      <c r="C17" s="120"/>
      <c r="D17" s="275"/>
      <c r="E17" s="275"/>
      <c r="F17" s="275"/>
      <c r="G17" s="275"/>
      <c r="H17" s="218"/>
      <c r="I17" s="218"/>
      <c r="J17" s="218"/>
      <c r="K17" s="218"/>
      <c r="L17" s="218"/>
      <c r="M17" s="128">
        <v>1</v>
      </c>
      <c r="N17" s="56"/>
      <c r="O17" s="211"/>
      <c r="P17" s="119"/>
      <c r="Q17" s="154"/>
      <c r="R17" s="154"/>
      <c r="S17" s="226"/>
      <c r="T17" s="226"/>
      <c r="U17" s="226"/>
      <c r="V17" s="154"/>
      <c r="W17" s="1"/>
      <c r="X17" s="1"/>
      <c r="Y17" s="1"/>
      <c r="Z17" s="1"/>
      <c r="AA17" s="234"/>
      <c r="AB17" s="148"/>
      <c r="AC17" s="234"/>
      <c r="AD17" s="148"/>
      <c r="AE17" s="236"/>
      <c r="AH17" s="236"/>
      <c r="AI17" s="248"/>
      <c r="AJ17" s="148"/>
      <c r="AK17" s="234"/>
      <c r="AL17" s="148"/>
      <c r="AM17" s="254"/>
      <c r="AP17" s="254"/>
      <c r="AQ17" s="248"/>
      <c r="AR17" s="260"/>
      <c r="AS17" s="148"/>
      <c r="AT17" s="234"/>
      <c r="AU17" s="238"/>
      <c r="AX17" s="236"/>
      <c r="AY17" s="266"/>
      <c r="AZ17" s="260"/>
      <c r="BA17" s="148"/>
      <c r="BB17" s="234"/>
      <c r="BC17" s="119"/>
      <c r="BF17" s="254"/>
      <c r="BG17" s="248"/>
      <c r="BH17" s="260"/>
      <c r="BI17" s="148"/>
      <c r="BJ17" s="234"/>
      <c r="BK17" s="238"/>
      <c r="BN17" s="236"/>
      <c r="BO17" s="260"/>
      <c r="BP17" s="260"/>
      <c r="BQ17" s="148"/>
      <c r="BR17" s="234"/>
      <c r="BS17" s="119"/>
      <c r="BV17" s="254"/>
      <c r="BW17" s="248"/>
      <c r="BX17" s="260"/>
      <c r="BY17" s="148"/>
      <c r="BZ17" s="234"/>
      <c r="CA17" s="238"/>
      <c r="CD17" s="236"/>
      <c r="CE17" s="233"/>
      <c r="CF17" s="1"/>
    </row>
    <row r="18" spans="1:84" x14ac:dyDescent="0.25">
      <c r="A18" s="118" t="s">
        <v>25</v>
      </c>
      <c r="B18" s="56" t="s">
        <v>151</v>
      </c>
      <c r="C18" s="120"/>
      <c r="D18" s="275"/>
      <c r="E18" s="275"/>
      <c r="F18" s="275"/>
      <c r="G18" s="275"/>
      <c r="H18" s="218"/>
      <c r="I18" s="218"/>
      <c r="J18" s="218"/>
      <c r="K18" s="218"/>
      <c r="L18" s="218"/>
      <c r="M18" s="128">
        <v>1</v>
      </c>
      <c r="N18" s="56"/>
      <c r="O18" s="211"/>
      <c r="P18" s="119"/>
      <c r="Q18" s="154"/>
      <c r="R18" s="154"/>
      <c r="S18" s="226"/>
      <c r="T18" s="226"/>
      <c r="U18" s="226"/>
      <c r="V18" s="154"/>
      <c r="W18" s="1"/>
      <c r="X18" s="1"/>
      <c r="Y18" s="1"/>
      <c r="Z18" s="1"/>
      <c r="AA18" s="234"/>
      <c r="AB18" s="148"/>
      <c r="AC18" s="234"/>
      <c r="AD18" s="148"/>
      <c r="AE18" s="236"/>
      <c r="AH18" s="236"/>
      <c r="AI18" s="248"/>
      <c r="AJ18" s="148"/>
      <c r="AK18" s="234"/>
      <c r="AL18" s="148"/>
      <c r="AM18" s="254"/>
      <c r="AP18" s="254"/>
      <c r="AQ18" s="248"/>
      <c r="AR18" s="260"/>
      <c r="AS18" s="148"/>
      <c r="AT18" s="234"/>
      <c r="AU18" s="238"/>
      <c r="AX18" s="236"/>
      <c r="AY18" s="266"/>
      <c r="AZ18" s="260"/>
      <c r="BA18" s="148"/>
      <c r="BB18" s="234"/>
      <c r="BC18" s="119"/>
      <c r="BF18" s="254"/>
      <c r="BG18" s="248"/>
      <c r="BH18" s="260"/>
      <c r="BI18" s="148"/>
      <c r="BJ18" s="234"/>
      <c r="BK18" s="238"/>
      <c r="BN18" s="236"/>
      <c r="BO18" s="260"/>
      <c r="BP18" s="260"/>
      <c r="BQ18" s="148"/>
      <c r="BR18" s="234"/>
      <c r="BS18" s="119"/>
      <c r="BV18" s="254"/>
      <c r="BW18" s="248"/>
      <c r="BX18" s="260"/>
      <c r="BY18" s="148"/>
      <c r="BZ18" s="234"/>
      <c r="CA18" s="238"/>
      <c r="CD18" s="236"/>
      <c r="CE18" s="233"/>
      <c r="CF18" s="1"/>
    </row>
    <row r="19" spans="1:84" x14ac:dyDescent="0.25">
      <c r="A19" s="118" t="s">
        <v>27</v>
      </c>
      <c r="B19" s="56" t="s">
        <v>151</v>
      </c>
      <c r="C19" s="120"/>
      <c r="D19" s="275"/>
      <c r="E19" s="275"/>
      <c r="F19" s="275"/>
      <c r="G19" s="275"/>
      <c r="H19" s="218"/>
      <c r="I19" s="218"/>
      <c r="J19" s="218"/>
      <c r="K19" s="218"/>
      <c r="L19" s="218"/>
      <c r="M19" s="128">
        <v>1</v>
      </c>
      <c r="N19" s="56"/>
      <c r="O19" s="211"/>
      <c r="P19" s="119"/>
      <c r="Q19" s="154"/>
      <c r="R19" s="154"/>
      <c r="S19" s="226"/>
      <c r="T19" s="226"/>
      <c r="U19" s="226"/>
      <c r="V19" s="154"/>
      <c r="W19" s="1"/>
      <c r="X19" s="1"/>
      <c r="Y19" s="1"/>
      <c r="Z19" s="1"/>
      <c r="AA19" s="234"/>
      <c r="AB19" s="148"/>
      <c r="AC19" s="234"/>
      <c r="AD19" s="148"/>
      <c r="AE19" s="236"/>
      <c r="AH19" s="236"/>
      <c r="AI19" s="248"/>
      <c r="AJ19" s="148"/>
      <c r="AK19" s="234"/>
      <c r="AL19" s="148"/>
      <c r="AM19" s="254"/>
      <c r="AP19" s="254"/>
      <c r="AQ19" s="248"/>
      <c r="AR19" s="260"/>
      <c r="AS19" s="148"/>
      <c r="AT19" s="234"/>
      <c r="AU19" s="238"/>
      <c r="AX19" s="236"/>
      <c r="AY19" s="266"/>
      <c r="AZ19" s="260"/>
      <c r="BA19" s="148"/>
      <c r="BB19" s="234"/>
      <c r="BC19" s="119"/>
      <c r="BF19" s="254"/>
      <c r="BG19" s="248"/>
      <c r="BH19" s="260"/>
      <c r="BI19" s="148"/>
      <c r="BJ19" s="234"/>
      <c r="BK19" s="238"/>
      <c r="BN19" s="236"/>
      <c r="BO19" s="260"/>
      <c r="BP19" s="260"/>
      <c r="BQ19" s="148"/>
      <c r="BR19" s="234"/>
      <c r="BS19" s="119"/>
      <c r="BV19" s="254"/>
      <c r="BW19" s="248"/>
      <c r="BX19" s="260"/>
      <c r="BY19" s="148"/>
      <c r="BZ19" s="234"/>
      <c r="CA19" s="238"/>
      <c r="CD19" s="236"/>
      <c r="CE19" s="233"/>
      <c r="CF19" s="1"/>
    </row>
    <row r="20" spans="1:84" x14ac:dyDescent="0.25">
      <c r="A20" s="118" t="s">
        <v>28</v>
      </c>
      <c r="B20" s="56" t="s">
        <v>135</v>
      </c>
      <c r="C20" s="120"/>
      <c r="D20" s="275"/>
      <c r="E20" s="275"/>
      <c r="F20" s="275"/>
      <c r="G20" s="275"/>
      <c r="H20" s="218"/>
      <c r="I20" s="218"/>
      <c r="J20" s="218"/>
      <c r="K20" s="218"/>
      <c r="L20" s="218"/>
      <c r="M20" s="128">
        <v>1</v>
      </c>
      <c r="N20" s="56"/>
      <c r="O20" s="211"/>
      <c r="P20" s="119"/>
      <c r="Q20" s="154"/>
      <c r="R20" s="154"/>
      <c r="S20" s="226"/>
      <c r="T20" s="226"/>
      <c r="U20" s="226"/>
      <c r="V20" s="154"/>
      <c r="W20" s="1"/>
      <c r="X20" s="1"/>
      <c r="Y20" s="1"/>
      <c r="Z20" s="1"/>
      <c r="AA20" s="234"/>
      <c r="AB20" s="148"/>
      <c r="AC20" s="234"/>
      <c r="AD20" s="148"/>
      <c r="AE20" s="236"/>
      <c r="AH20" s="236"/>
      <c r="AI20" s="248"/>
      <c r="AJ20" s="148"/>
      <c r="AK20" s="234"/>
      <c r="AL20" s="148"/>
      <c r="AM20" s="254"/>
      <c r="AP20" s="254"/>
      <c r="AQ20" s="248"/>
      <c r="AR20" s="260"/>
      <c r="AS20" s="148"/>
      <c r="AT20" s="234"/>
      <c r="AU20" s="238"/>
      <c r="AX20" s="236"/>
      <c r="AY20" s="266"/>
      <c r="AZ20" s="260"/>
      <c r="BA20" s="148"/>
      <c r="BB20" s="234"/>
      <c r="BC20" s="119"/>
      <c r="BF20" s="254"/>
      <c r="BG20" s="248"/>
      <c r="BH20" s="260"/>
      <c r="BI20" s="148"/>
      <c r="BJ20" s="234"/>
      <c r="BK20" s="238"/>
      <c r="BN20" s="236"/>
      <c r="BO20" s="260"/>
      <c r="BP20" s="260"/>
      <c r="BQ20" s="148"/>
      <c r="BR20" s="234"/>
      <c r="BS20" s="119"/>
      <c r="BV20" s="254"/>
      <c r="BW20" s="248"/>
      <c r="BX20" s="260"/>
      <c r="BY20" s="148"/>
      <c r="BZ20" s="234"/>
      <c r="CA20" s="238"/>
      <c r="CD20" s="236"/>
      <c r="CE20" s="233"/>
      <c r="CF20" s="1"/>
    </row>
    <row r="21" spans="1:84" x14ac:dyDescent="0.25">
      <c r="A21" s="118" t="s">
        <v>29</v>
      </c>
      <c r="B21" s="56" t="s">
        <v>135</v>
      </c>
      <c r="C21" s="120"/>
      <c r="D21" s="275"/>
      <c r="E21" s="275"/>
      <c r="F21" s="275"/>
      <c r="G21" s="275"/>
      <c r="H21" s="218"/>
      <c r="I21" s="218"/>
      <c r="J21" s="218"/>
      <c r="K21" s="218"/>
      <c r="L21" s="218"/>
      <c r="M21" s="128">
        <v>1</v>
      </c>
      <c r="N21" s="56"/>
      <c r="O21" s="211"/>
      <c r="P21" s="119"/>
      <c r="Q21" s="154"/>
      <c r="R21" s="154"/>
      <c r="S21" s="226"/>
      <c r="T21" s="226"/>
      <c r="U21" s="226"/>
      <c r="V21" s="154"/>
      <c r="W21" s="1"/>
      <c r="X21" s="1"/>
      <c r="Y21" s="1"/>
      <c r="Z21" s="1"/>
      <c r="AA21" s="234"/>
      <c r="AB21" s="148"/>
      <c r="AC21" s="234"/>
      <c r="AD21" s="148"/>
      <c r="AE21" s="236"/>
      <c r="AH21" s="236"/>
      <c r="AI21" s="248"/>
      <c r="AJ21" s="148"/>
      <c r="AK21" s="234"/>
      <c r="AL21" s="148"/>
      <c r="AM21" s="254"/>
      <c r="AP21" s="254"/>
      <c r="AQ21" s="248"/>
      <c r="AR21" s="260"/>
      <c r="AS21" s="148"/>
      <c r="AT21" s="234"/>
      <c r="AU21" s="238"/>
      <c r="AX21" s="236"/>
      <c r="AY21" s="266"/>
      <c r="AZ21" s="260"/>
      <c r="BA21" s="148"/>
      <c r="BB21" s="234"/>
      <c r="BC21" s="119"/>
      <c r="BF21" s="254"/>
      <c r="BG21" s="248"/>
      <c r="BH21" s="260"/>
      <c r="BI21" s="148"/>
      <c r="BJ21" s="234"/>
      <c r="BK21" s="238"/>
      <c r="BN21" s="236"/>
      <c r="BO21" s="260"/>
      <c r="BP21" s="260"/>
      <c r="BQ21" s="148"/>
      <c r="BR21" s="234"/>
      <c r="BS21" s="119"/>
      <c r="BV21" s="254"/>
      <c r="BW21" s="248"/>
      <c r="BX21" s="260"/>
      <c r="BY21" s="148"/>
      <c r="BZ21" s="234"/>
      <c r="CA21" s="238"/>
      <c r="CD21" s="236"/>
      <c r="CE21" s="233"/>
      <c r="CF21" s="1"/>
    </row>
    <row r="22" spans="1:84" x14ac:dyDescent="0.25">
      <c r="A22" s="118" t="s">
        <v>30</v>
      </c>
      <c r="B22" s="56" t="s">
        <v>135</v>
      </c>
      <c r="C22" s="120"/>
      <c r="D22" s="275"/>
      <c r="E22" s="275"/>
      <c r="F22" s="275"/>
      <c r="G22" s="275"/>
      <c r="H22" s="218"/>
      <c r="I22" s="218"/>
      <c r="J22" s="218"/>
      <c r="K22" s="218"/>
      <c r="L22" s="218"/>
      <c r="M22" s="128">
        <v>1</v>
      </c>
      <c r="N22" s="56"/>
      <c r="O22" s="211"/>
      <c r="P22" s="119"/>
      <c r="Q22" s="154"/>
      <c r="R22" s="154"/>
      <c r="S22" s="226"/>
      <c r="T22" s="226"/>
      <c r="U22" s="226"/>
      <c r="V22" s="154"/>
      <c r="W22" s="1"/>
      <c r="X22" s="1"/>
      <c r="Y22" s="1"/>
      <c r="Z22" s="1"/>
      <c r="AA22" s="234"/>
      <c r="AB22" s="148"/>
      <c r="AC22" s="234"/>
      <c r="AD22" s="148"/>
      <c r="AE22" s="236"/>
      <c r="AH22" s="236"/>
      <c r="AI22" s="248"/>
      <c r="AJ22" s="148"/>
      <c r="AK22" s="234"/>
      <c r="AL22" s="148"/>
      <c r="AM22" s="254"/>
      <c r="AP22" s="254"/>
      <c r="AQ22" s="248"/>
      <c r="AR22" s="260"/>
      <c r="AS22" s="148"/>
      <c r="AT22" s="234"/>
      <c r="AU22" s="238"/>
      <c r="AX22" s="236"/>
      <c r="AY22" s="266"/>
      <c r="AZ22" s="260"/>
      <c r="BA22" s="148"/>
      <c r="BB22" s="234"/>
      <c r="BC22" s="119"/>
      <c r="BF22" s="254"/>
      <c r="BG22" s="248"/>
      <c r="BH22" s="260"/>
      <c r="BI22" s="148"/>
      <c r="BJ22" s="234"/>
      <c r="BK22" s="238"/>
      <c r="BN22" s="236"/>
      <c r="BO22" s="260"/>
      <c r="BP22" s="260"/>
      <c r="BQ22" s="148"/>
      <c r="BR22" s="234"/>
      <c r="BS22" s="119"/>
      <c r="BV22" s="254"/>
      <c r="BW22" s="248"/>
      <c r="BX22" s="260"/>
      <c r="BY22" s="148"/>
      <c r="BZ22" s="234"/>
      <c r="CA22" s="238"/>
      <c r="CD22" s="236"/>
      <c r="CE22" s="233"/>
      <c r="CF22" s="1"/>
    </row>
    <row r="23" spans="1:84" x14ac:dyDescent="0.25">
      <c r="A23" s="118" t="s">
        <v>31</v>
      </c>
      <c r="B23" s="56" t="s">
        <v>151</v>
      </c>
      <c r="C23" s="120"/>
      <c r="D23" s="275"/>
      <c r="E23" s="275"/>
      <c r="F23" s="275"/>
      <c r="G23" s="275"/>
      <c r="H23" s="218"/>
      <c r="I23" s="218"/>
      <c r="J23" s="218"/>
      <c r="K23" s="218"/>
      <c r="L23" s="218"/>
      <c r="M23" s="128">
        <v>1</v>
      </c>
      <c r="N23" s="56"/>
      <c r="O23" s="211"/>
      <c r="P23" s="119"/>
      <c r="Q23" s="154"/>
      <c r="R23" s="154"/>
      <c r="S23" s="226"/>
      <c r="T23" s="226"/>
      <c r="U23" s="226"/>
      <c r="V23" s="154"/>
      <c r="W23" s="1"/>
      <c r="X23" s="1"/>
      <c r="Y23" s="1"/>
      <c r="Z23" s="1"/>
      <c r="AA23" s="234"/>
      <c r="AB23" s="148"/>
      <c r="AC23" s="234"/>
      <c r="AD23" s="148"/>
      <c r="AE23" s="236"/>
      <c r="AH23" s="236"/>
      <c r="AI23" s="248"/>
      <c r="AJ23" s="148"/>
      <c r="AK23" s="234"/>
      <c r="AL23" s="148"/>
      <c r="AM23" s="254"/>
      <c r="AP23" s="254"/>
      <c r="AQ23" s="248"/>
      <c r="AR23" s="260"/>
      <c r="AS23" s="148"/>
      <c r="AT23" s="234"/>
      <c r="AU23" s="238"/>
      <c r="AX23" s="236"/>
      <c r="AY23" s="266"/>
      <c r="AZ23" s="260"/>
      <c r="BA23" s="148"/>
      <c r="BB23" s="234"/>
      <c r="BC23" s="119"/>
      <c r="BF23" s="254"/>
      <c r="BG23" s="248"/>
      <c r="BH23" s="260"/>
      <c r="BI23" s="148"/>
      <c r="BJ23" s="234"/>
      <c r="BK23" s="238"/>
      <c r="BN23" s="236"/>
      <c r="BO23" s="260"/>
      <c r="BP23" s="260"/>
      <c r="BQ23" s="148"/>
      <c r="BR23" s="234"/>
      <c r="BS23" s="119"/>
      <c r="BV23" s="254"/>
      <c r="BW23" s="248"/>
      <c r="BX23" s="260"/>
      <c r="BY23" s="148"/>
      <c r="BZ23" s="234"/>
      <c r="CA23" s="238"/>
      <c r="CD23" s="236"/>
      <c r="CE23" s="233"/>
      <c r="CF23" s="1"/>
    </row>
    <row r="24" spans="1:84" x14ac:dyDescent="0.25">
      <c r="A24" s="118" t="s">
        <v>32</v>
      </c>
      <c r="B24" s="56" t="s">
        <v>150</v>
      </c>
      <c r="C24" s="120"/>
      <c r="D24" s="275"/>
      <c r="E24" s="275"/>
      <c r="F24" s="275"/>
      <c r="G24" s="275"/>
      <c r="H24" s="218"/>
      <c r="I24" s="218"/>
      <c r="J24" s="218"/>
      <c r="K24" s="218"/>
      <c r="L24" s="218"/>
      <c r="M24" s="128">
        <v>1</v>
      </c>
      <c r="N24" s="56"/>
      <c r="O24" s="211"/>
      <c r="P24" s="119"/>
      <c r="Q24" s="154"/>
      <c r="R24" s="154"/>
      <c r="S24" s="226"/>
      <c r="T24" s="226"/>
      <c r="U24" s="226"/>
      <c r="V24" s="154"/>
      <c r="W24" s="1"/>
      <c r="X24" s="1"/>
      <c r="Y24" s="1"/>
      <c r="Z24" s="1"/>
      <c r="AA24" s="234"/>
      <c r="AB24" s="148"/>
      <c r="AC24" s="234"/>
      <c r="AD24" s="148"/>
      <c r="AE24" s="236"/>
      <c r="AH24" s="236"/>
      <c r="AI24" s="248"/>
      <c r="AJ24" s="148"/>
      <c r="AK24" s="234"/>
      <c r="AL24" s="148"/>
      <c r="AM24" s="254"/>
      <c r="AP24" s="254"/>
      <c r="AQ24" s="248"/>
      <c r="AR24" s="260"/>
      <c r="AS24" s="148"/>
      <c r="AT24" s="234"/>
      <c r="AU24" s="238"/>
      <c r="AX24" s="236"/>
      <c r="AY24" s="266"/>
      <c r="AZ24" s="260"/>
      <c r="BA24" s="148"/>
      <c r="BB24" s="234"/>
      <c r="BC24" s="119"/>
      <c r="BF24" s="254"/>
      <c r="BG24" s="248"/>
      <c r="BH24" s="260"/>
      <c r="BI24" s="148"/>
      <c r="BJ24" s="234"/>
      <c r="BK24" s="238"/>
      <c r="BN24" s="236"/>
      <c r="BO24" s="260"/>
      <c r="BP24" s="260"/>
      <c r="BQ24" s="148"/>
      <c r="BR24" s="234"/>
      <c r="BS24" s="119"/>
      <c r="BV24" s="254"/>
      <c r="BW24" s="248"/>
      <c r="BX24" s="260"/>
      <c r="BY24" s="148"/>
      <c r="BZ24" s="234"/>
      <c r="CA24" s="238"/>
      <c r="CD24" s="236"/>
      <c r="CE24" s="233"/>
      <c r="CF24" s="1"/>
    </row>
    <row r="25" spans="1:84" x14ac:dyDescent="0.25">
      <c r="A25" s="118" t="s">
        <v>33</v>
      </c>
      <c r="B25" s="56" t="s">
        <v>149</v>
      </c>
      <c r="C25" s="120"/>
      <c r="D25" s="275"/>
      <c r="E25" s="275"/>
      <c r="F25" s="275"/>
      <c r="G25" s="275"/>
      <c r="H25" s="218"/>
      <c r="I25" s="218"/>
      <c r="J25" s="218"/>
      <c r="K25" s="218"/>
      <c r="L25" s="218"/>
      <c r="M25" s="128">
        <v>1</v>
      </c>
      <c r="N25" s="56"/>
      <c r="O25" s="211"/>
      <c r="P25" s="119"/>
      <c r="Q25" s="154"/>
      <c r="R25" s="154"/>
      <c r="S25" s="226"/>
      <c r="T25" s="226"/>
      <c r="U25" s="226"/>
      <c r="V25" s="154"/>
      <c r="W25" s="1"/>
      <c r="X25" s="1"/>
      <c r="Y25" s="1"/>
      <c r="Z25" s="1"/>
      <c r="AA25" s="234"/>
      <c r="AB25" s="148"/>
      <c r="AC25" s="234"/>
      <c r="AD25" s="148"/>
      <c r="AE25" s="236"/>
      <c r="AH25" s="236"/>
      <c r="AI25" s="248"/>
      <c r="AJ25" s="148"/>
      <c r="AK25" s="234"/>
      <c r="AL25" s="148"/>
      <c r="AM25" s="254"/>
      <c r="AP25" s="254"/>
      <c r="AQ25" s="248"/>
      <c r="AR25" s="260"/>
      <c r="AS25" s="148"/>
      <c r="AT25" s="234"/>
      <c r="AU25" s="238"/>
      <c r="AX25" s="236"/>
      <c r="AY25" s="266"/>
      <c r="AZ25" s="260"/>
      <c r="BA25" s="148"/>
      <c r="BB25" s="234"/>
      <c r="BC25" s="119"/>
      <c r="BF25" s="254"/>
      <c r="BG25" s="248"/>
      <c r="BH25" s="260"/>
      <c r="BI25" s="148"/>
      <c r="BJ25" s="234"/>
      <c r="BK25" s="238"/>
      <c r="BN25" s="236"/>
      <c r="BO25" s="260"/>
      <c r="BP25" s="260"/>
      <c r="BQ25" s="148"/>
      <c r="BR25" s="234"/>
      <c r="BS25" s="119"/>
      <c r="BV25" s="254"/>
      <c r="BW25" s="248"/>
      <c r="BX25" s="260"/>
      <c r="BY25" s="148"/>
      <c r="BZ25" s="234"/>
      <c r="CA25" s="238"/>
      <c r="CD25" s="236"/>
      <c r="CE25" s="233"/>
      <c r="CF25" s="1"/>
    </row>
    <row r="26" spans="1:84" x14ac:dyDescent="0.25">
      <c r="A26" s="118" t="s">
        <v>34</v>
      </c>
      <c r="B26" s="56" t="s">
        <v>151</v>
      </c>
      <c r="C26" s="120"/>
      <c r="D26" s="275"/>
      <c r="E26" s="275"/>
      <c r="F26" s="275"/>
      <c r="G26" s="275"/>
      <c r="H26" s="218"/>
      <c r="I26" s="218"/>
      <c r="J26" s="218"/>
      <c r="K26" s="218"/>
      <c r="L26" s="218"/>
      <c r="M26" s="128">
        <v>1</v>
      </c>
      <c r="N26" s="56"/>
      <c r="O26" s="211"/>
      <c r="P26" s="119"/>
      <c r="Q26" s="154"/>
      <c r="R26" s="154"/>
      <c r="S26" s="226"/>
      <c r="T26" s="226"/>
      <c r="U26" s="226"/>
      <c r="V26" s="154"/>
      <c r="W26" s="1"/>
      <c r="X26" s="1"/>
      <c r="Y26" s="1"/>
      <c r="Z26" s="1"/>
      <c r="AA26" s="234"/>
      <c r="AB26" s="148"/>
      <c r="AC26" s="234"/>
      <c r="AD26" s="148"/>
      <c r="AE26" s="236"/>
      <c r="AH26" s="236"/>
      <c r="AI26" s="248"/>
      <c r="AJ26" s="148"/>
      <c r="AK26" s="234"/>
      <c r="AL26" s="148"/>
      <c r="AM26" s="254"/>
      <c r="AP26" s="254"/>
      <c r="AQ26" s="248"/>
      <c r="AR26" s="260"/>
      <c r="AS26" s="148"/>
      <c r="AT26" s="234"/>
      <c r="AU26" s="238"/>
      <c r="AX26" s="236"/>
      <c r="AY26" s="266"/>
      <c r="AZ26" s="260"/>
      <c r="BA26" s="148"/>
      <c r="BB26" s="234"/>
      <c r="BC26" s="119"/>
      <c r="BF26" s="254"/>
      <c r="BG26" s="248"/>
      <c r="BH26" s="260"/>
      <c r="BI26" s="148"/>
      <c r="BJ26" s="234"/>
      <c r="BK26" s="238"/>
      <c r="BN26" s="236"/>
      <c r="BO26" s="260"/>
      <c r="BP26" s="260"/>
      <c r="BQ26" s="148"/>
      <c r="BR26" s="234"/>
      <c r="BS26" s="119"/>
      <c r="BV26" s="254"/>
      <c r="BW26" s="248"/>
      <c r="BX26" s="260"/>
      <c r="BY26" s="148"/>
      <c r="BZ26" s="234"/>
      <c r="CA26" s="238"/>
      <c r="CD26" s="236"/>
      <c r="CE26" s="233"/>
      <c r="CF26" s="1"/>
    </row>
    <row r="27" spans="1:84" x14ac:dyDescent="0.25">
      <c r="A27" s="118" t="s">
        <v>35</v>
      </c>
      <c r="B27" s="56" t="s">
        <v>151</v>
      </c>
      <c r="C27" s="120"/>
      <c r="D27" s="275"/>
      <c r="E27" s="275"/>
      <c r="F27" s="275"/>
      <c r="G27" s="275"/>
      <c r="H27" s="218"/>
      <c r="I27" s="218"/>
      <c r="J27" s="218"/>
      <c r="K27" s="218"/>
      <c r="L27" s="218"/>
      <c r="M27" s="128">
        <v>1</v>
      </c>
      <c r="N27" s="56"/>
      <c r="O27" s="211"/>
      <c r="P27" s="119"/>
      <c r="Q27" s="154"/>
      <c r="R27" s="154"/>
      <c r="S27" s="226"/>
      <c r="T27" s="226"/>
      <c r="U27" s="226"/>
      <c r="V27" s="154"/>
      <c r="W27" s="1"/>
      <c r="X27" s="1"/>
      <c r="Y27" s="1"/>
      <c r="Z27" s="1"/>
      <c r="AA27" s="234"/>
      <c r="AB27" s="148"/>
      <c r="AC27" s="234"/>
      <c r="AD27" s="148"/>
      <c r="AE27" s="236"/>
      <c r="AH27" s="236"/>
      <c r="AI27" s="248"/>
      <c r="AJ27" s="148"/>
      <c r="AK27" s="234"/>
      <c r="AL27" s="148"/>
      <c r="AM27" s="254"/>
      <c r="AP27" s="254"/>
      <c r="AQ27" s="248"/>
      <c r="AR27" s="260"/>
      <c r="AS27" s="148"/>
      <c r="AT27" s="234"/>
      <c r="AU27" s="238"/>
      <c r="AX27" s="236"/>
      <c r="AY27" s="266"/>
      <c r="AZ27" s="260"/>
      <c r="BA27" s="148"/>
      <c r="BB27" s="234"/>
      <c r="BC27" s="119"/>
      <c r="BF27" s="254"/>
      <c r="BG27" s="248"/>
      <c r="BH27" s="260"/>
      <c r="BI27" s="148"/>
      <c r="BJ27" s="234"/>
      <c r="BK27" s="238"/>
      <c r="BN27" s="236"/>
      <c r="BO27" s="260"/>
      <c r="BP27" s="260"/>
      <c r="BQ27" s="148"/>
      <c r="BR27" s="234"/>
      <c r="BS27" s="119"/>
      <c r="BV27" s="254"/>
      <c r="BW27" s="248"/>
      <c r="BX27" s="260"/>
      <c r="BY27" s="148"/>
      <c r="BZ27" s="234"/>
      <c r="CA27" s="238"/>
      <c r="CD27" s="236"/>
      <c r="CE27" s="233"/>
      <c r="CF27" s="1"/>
    </row>
    <row r="28" spans="1:84" x14ac:dyDescent="0.25">
      <c r="A28" s="118" t="s">
        <v>36</v>
      </c>
      <c r="B28" s="56" t="s">
        <v>149</v>
      </c>
      <c r="C28" s="120"/>
      <c r="D28" s="275"/>
      <c r="E28" s="275"/>
      <c r="F28" s="275"/>
      <c r="G28" s="275"/>
      <c r="H28" s="218"/>
      <c r="I28" s="218"/>
      <c r="J28" s="218"/>
      <c r="K28" s="218"/>
      <c r="L28" s="218"/>
      <c r="M28" s="128">
        <v>1</v>
      </c>
      <c r="N28" s="56"/>
      <c r="O28" s="211"/>
      <c r="P28" s="119"/>
      <c r="Q28" s="154"/>
      <c r="R28" s="154"/>
      <c r="S28" s="226"/>
      <c r="T28" s="226"/>
      <c r="U28" s="226"/>
      <c r="V28" s="154"/>
      <c r="W28" s="1"/>
      <c r="X28" s="1"/>
      <c r="Y28" s="1"/>
      <c r="Z28" s="1"/>
      <c r="AA28" s="234"/>
      <c r="AB28" s="148"/>
      <c r="AC28" s="234"/>
      <c r="AD28" s="148"/>
      <c r="AE28" s="236"/>
      <c r="AH28" s="236"/>
      <c r="AI28" s="248"/>
      <c r="AJ28" s="148"/>
      <c r="AK28" s="234"/>
      <c r="AL28" s="148"/>
      <c r="AM28" s="254"/>
      <c r="AP28" s="254"/>
      <c r="AQ28" s="248"/>
      <c r="AR28" s="260"/>
      <c r="AS28" s="148"/>
      <c r="AT28" s="234"/>
      <c r="AU28" s="238"/>
      <c r="AX28" s="236"/>
      <c r="AY28" s="266"/>
      <c r="AZ28" s="260"/>
      <c r="BA28" s="148"/>
      <c r="BB28" s="234"/>
      <c r="BC28" s="119"/>
      <c r="BF28" s="254"/>
      <c r="BG28" s="248"/>
      <c r="BH28" s="260"/>
      <c r="BI28" s="148"/>
      <c r="BJ28" s="234"/>
      <c r="BK28" s="238"/>
      <c r="BN28" s="236"/>
      <c r="BO28" s="260"/>
      <c r="BP28" s="260"/>
      <c r="BQ28" s="148"/>
      <c r="BR28" s="234"/>
      <c r="BS28" s="119"/>
      <c r="BV28" s="254"/>
      <c r="BW28" s="248"/>
      <c r="BX28" s="260"/>
      <c r="BY28" s="148"/>
      <c r="BZ28" s="234"/>
      <c r="CA28" s="238"/>
      <c r="CD28" s="236"/>
      <c r="CE28" s="233"/>
      <c r="CF28" s="1"/>
    </row>
    <row r="29" spans="1:84" x14ac:dyDescent="0.25">
      <c r="A29" s="118" t="s">
        <v>37</v>
      </c>
      <c r="B29" s="56" t="s">
        <v>155</v>
      </c>
      <c r="C29" s="120"/>
      <c r="D29" s="275"/>
      <c r="E29" s="275"/>
      <c r="F29" s="275"/>
      <c r="G29" s="275"/>
      <c r="H29" s="218"/>
      <c r="I29" s="218"/>
      <c r="J29" s="218"/>
      <c r="K29" s="218"/>
      <c r="L29" s="218"/>
      <c r="M29" s="128">
        <v>1</v>
      </c>
      <c r="N29" s="56"/>
      <c r="O29" s="211"/>
      <c r="P29" s="119"/>
      <c r="Q29" s="154"/>
      <c r="R29" s="154"/>
      <c r="S29" s="226"/>
      <c r="T29" s="226"/>
      <c r="U29" s="226"/>
      <c r="V29" s="154"/>
      <c r="W29" s="1"/>
      <c r="X29" s="1"/>
      <c r="Y29" s="1"/>
      <c r="Z29" s="1"/>
      <c r="AA29" s="234"/>
      <c r="AB29" s="148"/>
      <c r="AC29" s="234"/>
      <c r="AD29" s="148"/>
      <c r="AE29" s="236"/>
      <c r="AH29" s="236"/>
      <c r="AI29" s="248"/>
      <c r="AJ29" s="148"/>
      <c r="AK29" s="234"/>
      <c r="AL29" s="148"/>
      <c r="AM29" s="254"/>
      <c r="AP29" s="254"/>
      <c r="AQ29" s="248"/>
      <c r="AR29" s="260"/>
      <c r="AS29" s="148"/>
      <c r="AT29" s="234"/>
      <c r="AU29" s="238"/>
      <c r="AX29" s="236"/>
      <c r="AY29" s="266"/>
      <c r="AZ29" s="260"/>
      <c r="BA29" s="148"/>
      <c r="BB29" s="234"/>
      <c r="BC29" s="119"/>
      <c r="BF29" s="254"/>
      <c r="BG29" s="248"/>
      <c r="BH29" s="260"/>
      <c r="BI29" s="148"/>
      <c r="BJ29" s="234"/>
      <c r="BK29" s="238"/>
      <c r="BN29" s="236"/>
      <c r="BO29" s="260"/>
      <c r="BP29" s="260"/>
      <c r="BQ29" s="148"/>
      <c r="BR29" s="234"/>
      <c r="BS29" s="119"/>
      <c r="BV29" s="254"/>
      <c r="BW29" s="248"/>
      <c r="BX29" s="260"/>
      <c r="BY29" s="148"/>
      <c r="BZ29" s="234"/>
      <c r="CA29" s="238"/>
      <c r="CD29" s="236"/>
      <c r="CE29" s="233"/>
      <c r="CF29" s="1"/>
    </row>
    <row r="30" spans="1:84" x14ac:dyDescent="0.25">
      <c r="A30" s="118" t="s">
        <v>38</v>
      </c>
      <c r="B30" s="56" t="s">
        <v>151</v>
      </c>
      <c r="C30" s="120"/>
      <c r="D30" s="275"/>
      <c r="E30" s="275"/>
      <c r="F30" s="275"/>
      <c r="G30" s="275"/>
      <c r="H30" s="218"/>
      <c r="I30" s="218"/>
      <c r="J30" s="218"/>
      <c r="K30" s="218"/>
      <c r="L30" s="218"/>
      <c r="M30" s="128">
        <v>1</v>
      </c>
      <c r="N30" s="56"/>
      <c r="O30" s="211"/>
      <c r="P30" s="119"/>
      <c r="Q30" s="154"/>
      <c r="R30" s="154"/>
      <c r="S30" s="226"/>
      <c r="T30" s="226"/>
      <c r="U30" s="226"/>
      <c r="V30" s="154"/>
      <c r="W30" s="1"/>
      <c r="X30" s="1"/>
      <c r="Y30" s="1"/>
      <c r="Z30" s="1"/>
      <c r="AA30" s="234"/>
      <c r="AB30" s="148"/>
      <c r="AC30" s="234"/>
      <c r="AD30" s="148"/>
      <c r="AE30" s="236"/>
      <c r="AH30" s="236"/>
      <c r="AI30" s="248"/>
      <c r="AJ30" s="148"/>
      <c r="AK30" s="234"/>
      <c r="AL30" s="148"/>
      <c r="AM30" s="254"/>
      <c r="AP30" s="254"/>
      <c r="AQ30" s="248"/>
      <c r="AR30" s="260"/>
      <c r="AS30" s="148"/>
      <c r="AT30" s="234"/>
      <c r="AU30" s="238"/>
      <c r="AX30" s="236"/>
      <c r="AY30" s="266"/>
      <c r="AZ30" s="260"/>
      <c r="BA30" s="148"/>
      <c r="BB30" s="234"/>
      <c r="BC30" s="119"/>
      <c r="BF30" s="254"/>
      <c r="BG30" s="248"/>
      <c r="BH30" s="260"/>
      <c r="BI30" s="148"/>
      <c r="BJ30" s="234"/>
      <c r="BK30" s="238"/>
      <c r="BN30" s="236"/>
      <c r="BO30" s="260"/>
      <c r="BP30" s="260"/>
      <c r="BQ30" s="148"/>
      <c r="BR30" s="234"/>
      <c r="BS30" s="119"/>
      <c r="BV30" s="254"/>
      <c r="BW30" s="248"/>
      <c r="BX30" s="260"/>
      <c r="BY30" s="148"/>
      <c r="BZ30" s="234"/>
      <c r="CA30" s="238"/>
      <c r="CD30" s="236"/>
      <c r="CE30" s="233"/>
      <c r="CF30" s="1"/>
    </row>
    <row r="31" spans="1:84" x14ac:dyDescent="0.25">
      <c r="A31" s="118" t="s">
        <v>39</v>
      </c>
      <c r="B31" s="56" t="s">
        <v>149</v>
      </c>
      <c r="C31" s="120"/>
      <c r="D31" s="275"/>
      <c r="E31" s="275"/>
      <c r="F31" s="275"/>
      <c r="G31" s="275"/>
      <c r="H31" s="218"/>
      <c r="I31" s="218"/>
      <c r="J31" s="218"/>
      <c r="K31" s="218"/>
      <c r="L31" s="218"/>
      <c r="M31" s="128">
        <v>1</v>
      </c>
      <c r="N31" s="56"/>
      <c r="O31" s="211"/>
      <c r="P31" s="119"/>
      <c r="Q31" s="154"/>
      <c r="R31" s="154"/>
      <c r="S31" s="226"/>
      <c r="T31" s="226"/>
      <c r="U31" s="226"/>
      <c r="V31" s="154"/>
      <c r="W31" s="1"/>
      <c r="X31" s="1"/>
      <c r="Y31" s="1"/>
      <c r="Z31" s="1"/>
      <c r="AA31" s="234"/>
      <c r="AB31" s="148"/>
      <c r="AC31" s="234"/>
      <c r="AD31" s="148"/>
      <c r="AE31" s="236"/>
      <c r="AH31" s="236"/>
      <c r="AI31" s="248"/>
      <c r="AJ31" s="148"/>
      <c r="AK31" s="234"/>
      <c r="AL31" s="148"/>
      <c r="AM31" s="254"/>
      <c r="AP31" s="254"/>
      <c r="AQ31" s="248"/>
      <c r="AR31" s="260"/>
      <c r="AS31" s="148"/>
      <c r="AT31" s="234"/>
      <c r="AU31" s="238"/>
      <c r="AX31" s="236"/>
      <c r="AY31" s="266"/>
      <c r="AZ31" s="260"/>
      <c r="BA31" s="148"/>
      <c r="BB31" s="234"/>
      <c r="BC31" s="119"/>
      <c r="BF31" s="254"/>
      <c r="BG31" s="248"/>
      <c r="BH31" s="260"/>
      <c r="BI31" s="148"/>
      <c r="BJ31" s="234"/>
      <c r="BK31" s="238"/>
      <c r="BN31" s="236"/>
      <c r="BO31" s="260"/>
      <c r="BP31" s="260"/>
      <c r="BQ31" s="148"/>
      <c r="BR31" s="234"/>
      <c r="BS31" s="119"/>
      <c r="BV31" s="254"/>
      <c r="BW31" s="248"/>
      <c r="BX31" s="260"/>
      <c r="BY31" s="148"/>
      <c r="BZ31" s="234"/>
      <c r="CA31" s="238"/>
      <c r="CD31" s="236"/>
      <c r="CE31" s="233"/>
      <c r="CF31" s="1"/>
    </row>
    <row r="32" spans="1:84" x14ac:dyDescent="0.25">
      <c r="A32" s="118" t="s">
        <v>40</v>
      </c>
      <c r="B32" s="56" t="s">
        <v>148</v>
      </c>
      <c r="C32" s="120"/>
      <c r="D32" s="275"/>
      <c r="E32" s="275"/>
      <c r="F32" s="275"/>
      <c r="G32" s="275"/>
      <c r="H32" s="218"/>
      <c r="I32" s="218"/>
      <c r="J32" s="218"/>
      <c r="K32" s="218"/>
      <c r="L32" s="218"/>
      <c r="M32" s="128">
        <v>1</v>
      </c>
      <c r="N32" s="56"/>
      <c r="O32" s="211"/>
      <c r="P32" s="119"/>
      <c r="Q32" s="154"/>
      <c r="R32" s="154"/>
      <c r="S32" s="226"/>
      <c r="T32" s="226"/>
      <c r="U32" s="226"/>
      <c r="V32" s="154"/>
      <c r="W32" s="1"/>
      <c r="X32" s="1"/>
      <c r="Y32" s="1"/>
      <c r="Z32" s="1"/>
      <c r="AA32" s="234"/>
      <c r="AB32" s="148"/>
      <c r="AC32" s="234"/>
      <c r="AD32" s="148"/>
      <c r="AE32" s="236"/>
      <c r="AH32" s="236"/>
      <c r="AI32" s="248"/>
      <c r="AJ32" s="148"/>
      <c r="AK32" s="234"/>
      <c r="AL32" s="148"/>
      <c r="AM32" s="254"/>
      <c r="AP32" s="254"/>
      <c r="AQ32" s="248"/>
      <c r="AR32" s="260"/>
      <c r="AS32" s="148"/>
      <c r="AT32" s="234"/>
      <c r="AU32" s="238"/>
      <c r="AX32" s="236"/>
      <c r="AY32" s="266"/>
      <c r="AZ32" s="260"/>
      <c r="BA32" s="148"/>
      <c r="BB32" s="234"/>
      <c r="BC32" s="119"/>
      <c r="BF32" s="254"/>
      <c r="BG32" s="248"/>
      <c r="BH32" s="260"/>
      <c r="BI32" s="148"/>
      <c r="BJ32" s="234"/>
      <c r="BK32" s="238"/>
      <c r="BN32" s="236"/>
      <c r="BO32" s="260"/>
      <c r="BP32" s="260"/>
      <c r="BQ32" s="148"/>
      <c r="BR32" s="234"/>
      <c r="BS32" s="119"/>
      <c r="BV32" s="254"/>
      <c r="BW32" s="248"/>
      <c r="BX32" s="260"/>
      <c r="BY32" s="148"/>
      <c r="BZ32" s="234"/>
      <c r="CA32" s="238"/>
      <c r="CD32" s="236"/>
      <c r="CE32" s="233"/>
      <c r="CF32" s="1"/>
    </row>
    <row r="33" spans="1:84" x14ac:dyDescent="0.25">
      <c r="A33" s="118" t="s">
        <v>41</v>
      </c>
      <c r="B33" s="56" t="s">
        <v>149</v>
      </c>
      <c r="C33" s="120"/>
      <c r="D33" s="275"/>
      <c r="E33" s="275"/>
      <c r="F33" s="275"/>
      <c r="G33" s="275"/>
      <c r="H33" s="218"/>
      <c r="I33" s="218"/>
      <c r="J33" s="218"/>
      <c r="K33" s="218"/>
      <c r="L33" s="218"/>
      <c r="M33" s="128">
        <v>1</v>
      </c>
      <c r="N33" s="56"/>
      <c r="O33" s="211"/>
      <c r="P33" s="119"/>
      <c r="Q33" s="154"/>
      <c r="R33" s="154"/>
      <c r="S33" s="226"/>
      <c r="T33" s="226"/>
      <c r="U33" s="226"/>
      <c r="V33" s="154"/>
      <c r="W33" s="1"/>
      <c r="X33" s="1"/>
      <c r="Y33" s="1"/>
      <c r="Z33" s="1"/>
      <c r="AA33" s="234"/>
      <c r="AB33" s="148"/>
      <c r="AC33" s="234"/>
      <c r="AD33" s="148"/>
      <c r="AE33" s="236"/>
      <c r="AH33" s="236"/>
      <c r="AI33" s="248"/>
      <c r="AJ33" s="148"/>
      <c r="AK33" s="234"/>
      <c r="AL33" s="148"/>
      <c r="AM33" s="254"/>
      <c r="AP33" s="254"/>
      <c r="AQ33" s="248"/>
      <c r="AR33" s="260"/>
      <c r="AS33" s="148"/>
      <c r="AT33" s="234"/>
      <c r="AU33" s="238"/>
      <c r="AX33" s="236"/>
      <c r="AY33" s="266"/>
      <c r="AZ33" s="260"/>
      <c r="BA33" s="148"/>
      <c r="BB33" s="234"/>
      <c r="BC33" s="119"/>
      <c r="BF33" s="254"/>
      <c r="BG33" s="248"/>
      <c r="BH33" s="260"/>
      <c r="BI33" s="148"/>
      <c r="BJ33" s="234"/>
      <c r="BK33" s="238"/>
      <c r="BN33" s="236"/>
      <c r="BO33" s="260"/>
      <c r="BP33" s="260"/>
      <c r="BQ33" s="148"/>
      <c r="BR33" s="234"/>
      <c r="BS33" s="119"/>
      <c r="BV33" s="254"/>
      <c r="BW33" s="248"/>
      <c r="BX33" s="260"/>
      <c r="BY33" s="148"/>
      <c r="BZ33" s="234"/>
      <c r="CA33" s="238"/>
      <c r="CD33" s="236"/>
      <c r="CE33" s="233"/>
      <c r="CF33" s="1"/>
    </row>
    <row r="34" spans="1:84" x14ac:dyDescent="0.25">
      <c r="A34" s="118" t="s">
        <v>42</v>
      </c>
      <c r="B34" s="56" t="s">
        <v>148</v>
      </c>
      <c r="C34" s="120"/>
      <c r="D34" s="275"/>
      <c r="E34" s="275"/>
      <c r="F34" s="275"/>
      <c r="G34" s="275"/>
      <c r="H34" s="218"/>
      <c r="I34" s="218"/>
      <c r="J34" s="218"/>
      <c r="K34" s="218"/>
      <c r="L34" s="218"/>
      <c r="M34" s="128">
        <v>1</v>
      </c>
      <c r="N34" s="56"/>
      <c r="O34" s="211"/>
      <c r="P34" s="119"/>
      <c r="Q34" s="154"/>
      <c r="R34" s="154"/>
      <c r="S34" s="226"/>
      <c r="T34" s="226"/>
      <c r="U34" s="226"/>
      <c r="V34" s="154"/>
      <c r="W34" s="1"/>
      <c r="X34" s="1"/>
      <c r="Y34" s="1"/>
      <c r="Z34" s="1"/>
      <c r="AA34" s="234"/>
      <c r="AB34" s="148"/>
      <c r="AC34" s="234"/>
      <c r="AD34" s="148"/>
      <c r="AE34" s="236"/>
      <c r="AH34" s="236"/>
      <c r="AI34" s="248"/>
      <c r="AJ34" s="148"/>
      <c r="AK34" s="234"/>
      <c r="AL34" s="148"/>
      <c r="AM34" s="254"/>
      <c r="AP34" s="254"/>
      <c r="AQ34" s="248"/>
      <c r="AR34" s="260"/>
      <c r="AS34" s="148"/>
      <c r="AT34" s="234"/>
      <c r="AU34" s="238"/>
      <c r="AX34" s="236"/>
      <c r="AY34" s="266"/>
      <c r="AZ34" s="260"/>
      <c r="BA34" s="148"/>
      <c r="BB34" s="234"/>
      <c r="BC34" s="119"/>
      <c r="BF34" s="254"/>
      <c r="BG34" s="248"/>
      <c r="BH34" s="260"/>
      <c r="BI34" s="148"/>
      <c r="BJ34" s="234"/>
      <c r="BK34" s="238"/>
      <c r="BN34" s="236"/>
      <c r="BO34" s="260"/>
      <c r="BP34" s="260"/>
      <c r="BQ34" s="148"/>
      <c r="BR34" s="234"/>
      <c r="BS34" s="119"/>
      <c r="BV34" s="254"/>
      <c r="BW34" s="248"/>
      <c r="BX34" s="260"/>
      <c r="BY34" s="148"/>
      <c r="BZ34" s="234"/>
      <c r="CA34" s="238"/>
      <c r="CD34" s="236"/>
      <c r="CE34" s="233"/>
      <c r="CF34" s="1"/>
    </row>
    <row r="35" spans="1:84" x14ac:dyDescent="0.25">
      <c r="A35" s="118" t="s">
        <v>43</v>
      </c>
      <c r="B35" s="56" t="s">
        <v>151</v>
      </c>
      <c r="C35" s="120"/>
      <c r="D35" s="275"/>
      <c r="E35" s="275"/>
      <c r="F35" s="275"/>
      <c r="G35" s="275"/>
      <c r="H35" s="218"/>
      <c r="I35" s="218"/>
      <c r="J35" s="218"/>
      <c r="K35" s="218"/>
      <c r="L35" s="218"/>
      <c r="M35" s="128">
        <v>1</v>
      </c>
      <c r="N35" s="56"/>
      <c r="O35" s="211"/>
      <c r="P35" s="119"/>
      <c r="Q35" s="154"/>
      <c r="R35" s="154"/>
      <c r="S35" s="226"/>
      <c r="T35" s="226"/>
      <c r="U35" s="226"/>
      <c r="V35" s="154"/>
      <c r="W35" s="1"/>
      <c r="X35" s="1"/>
      <c r="Y35" s="1"/>
      <c r="Z35" s="1"/>
      <c r="AA35" s="234"/>
      <c r="AB35" s="148"/>
      <c r="AC35" s="234"/>
      <c r="AD35" s="148"/>
      <c r="AE35" s="236"/>
      <c r="AH35" s="236"/>
      <c r="AI35" s="248"/>
      <c r="AJ35" s="148"/>
      <c r="AK35" s="234"/>
      <c r="AL35" s="148"/>
      <c r="AM35" s="254"/>
      <c r="AP35" s="254"/>
      <c r="AQ35" s="248"/>
      <c r="AR35" s="260"/>
      <c r="AS35" s="148"/>
      <c r="AT35" s="234"/>
      <c r="AU35" s="238"/>
      <c r="AX35" s="236"/>
      <c r="AY35" s="266"/>
      <c r="AZ35" s="260"/>
      <c r="BA35" s="148"/>
      <c r="BB35" s="234"/>
      <c r="BC35" s="119"/>
      <c r="BF35" s="254"/>
      <c r="BG35" s="248"/>
      <c r="BH35" s="260"/>
      <c r="BI35" s="148"/>
      <c r="BJ35" s="234"/>
      <c r="BK35" s="238"/>
      <c r="BN35" s="236"/>
      <c r="BO35" s="260"/>
      <c r="BP35" s="260"/>
      <c r="BQ35" s="148"/>
      <c r="BR35" s="234"/>
      <c r="BS35" s="119"/>
      <c r="BV35" s="254"/>
      <c r="BW35" s="248"/>
      <c r="BX35" s="260"/>
      <c r="BY35" s="148"/>
      <c r="BZ35" s="234"/>
      <c r="CA35" s="238"/>
      <c r="CD35" s="236"/>
      <c r="CE35" s="233"/>
      <c r="CF35" s="1"/>
    </row>
    <row r="36" spans="1:84" x14ac:dyDescent="0.25">
      <c r="A36" s="118" t="s">
        <v>44</v>
      </c>
      <c r="B36" s="56" t="s">
        <v>151</v>
      </c>
      <c r="C36" s="120"/>
      <c r="D36" s="275"/>
      <c r="E36" s="275"/>
      <c r="F36" s="275"/>
      <c r="G36" s="275"/>
      <c r="H36" s="218"/>
      <c r="I36" s="218"/>
      <c r="J36" s="218"/>
      <c r="K36" s="218"/>
      <c r="L36" s="218"/>
      <c r="M36" s="128">
        <v>1</v>
      </c>
      <c r="N36" s="56"/>
      <c r="O36" s="211"/>
      <c r="P36" s="119"/>
      <c r="Q36" s="154"/>
      <c r="R36" s="154"/>
      <c r="S36" s="226"/>
      <c r="T36" s="226"/>
      <c r="U36" s="226"/>
      <c r="V36" s="154"/>
      <c r="W36" s="1"/>
      <c r="X36" s="1"/>
      <c r="Y36" s="1"/>
      <c r="Z36" s="1"/>
      <c r="AA36" s="234"/>
      <c r="AB36" s="148"/>
      <c r="AC36" s="234"/>
      <c r="AD36" s="148"/>
      <c r="AE36" s="236"/>
      <c r="AH36" s="236"/>
      <c r="AI36" s="248"/>
      <c r="AJ36" s="148"/>
      <c r="AK36" s="234"/>
      <c r="AL36" s="148"/>
      <c r="AM36" s="254"/>
      <c r="AP36" s="254"/>
      <c r="AQ36" s="248"/>
      <c r="AR36" s="260"/>
      <c r="AS36" s="148"/>
      <c r="AT36" s="234"/>
      <c r="AU36" s="238"/>
      <c r="AX36" s="236"/>
      <c r="AY36" s="266"/>
      <c r="AZ36" s="260"/>
      <c r="BA36" s="148"/>
      <c r="BB36" s="234"/>
      <c r="BC36" s="119"/>
      <c r="BF36" s="254"/>
      <c r="BG36" s="248"/>
      <c r="BH36" s="260"/>
      <c r="BI36" s="148"/>
      <c r="BJ36" s="234"/>
      <c r="BK36" s="238"/>
      <c r="BN36" s="236"/>
      <c r="BO36" s="260"/>
      <c r="BP36" s="260"/>
      <c r="BQ36" s="148"/>
      <c r="BR36" s="234"/>
      <c r="BS36" s="119"/>
      <c r="BV36" s="254"/>
      <c r="BW36" s="248"/>
      <c r="BX36" s="260"/>
      <c r="BY36" s="148"/>
      <c r="BZ36" s="234"/>
      <c r="CA36" s="238"/>
      <c r="CD36" s="236"/>
      <c r="CE36" s="233"/>
      <c r="CF36" s="1"/>
    </row>
    <row r="37" spans="1:84" x14ac:dyDescent="0.25">
      <c r="A37" s="118" t="s">
        <v>45</v>
      </c>
      <c r="B37" s="56" t="s">
        <v>151</v>
      </c>
      <c r="C37" s="120"/>
      <c r="D37" s="275"/>
      <c r="E37" s="275"/>
      <c r="F37" s="275"/>
      <c r="G37" s="275"/>
      <c r="H37" s="218"/>
      <c r="I37" s="218"/>
      <c r="J37" s="218"/>
      <c r="K37" s="218"/>
      <c r="L37" s="218"/>
      <c r="M37" s="128">
        <v>1</v>
      </c>
      <c r="N37" s="56"/>
      <c r="O37" s="211"/>
      <c r="P37" s="119"/>
      <c r="Q37" s="154"/>
      <c r="R37" s="154"/>
      <c r="S37" s="226"/>
      <c r="T37" s="226"/>
      <c r="U37" s="226"/>
      <c r="V37" s="154"/>
      <c r="W37" s="1"/>
      <c r="X37" s="1"/>
      <c r="Y37" s="1"/>
      <c r="Z37" s="1"/>
      <c r="AA37" s="234"/>
      <c r="AB37" s="148"/>
      <c r="AC37" s="234"/>
      <c r="AD37" s="148"/>
      <c r="AE37" s="236"/>
      <c r="AH37" s="236"/>
      <c r="AI37" s="248"/>
      <c r="AJ37" s="148"/>
      <c r="AK37" s="234"/>
      <c r="AL37" s="148"/>
      <c r="AM37" s="254"/>
      <c r="AP37" s="254"/>
      <c r="AQ37" s="248"/>
      <c r="AR37" s="260"/>
      <c r="AS37" s="148"/>
      <c r="AT37" s="234"/>
      <c r="AU37" s="238"/>
      <c r="AX37" s="236"/>
      <c r="AY37" s="266"/>
      <c r="AZ37" s="260"/>
      <c r="BA37" s="148"/>
      <c r="BB37" s="234"/>
      <c r="BC37" s="119"/>
      <c r="BF37" s="254"/>
      <c r="BG37" s="248"/>
      <c r="BH37" s="260"/>
      <c r="BI37" s="148"/>
      <c r="BJ37" s="234"/>
      <c r="BK37" s="238"/>
      <c r="BN37" s="236"/>
      <c r="BO37" s="260"/>
      <c r="BP37" s="260"/>
      <c r="BQ37" s="148"/>
      <c r="BR37" s="234"/>
      <c r="BS37" s="119"/>
      <c r="BV37" s="254"/>
      <c r="BW37" s="248"/>
      <c r="BX37" s="260"/>
      <c r="BY37" s="148"/>
      <c r="BZ37" s="234"/>
      <c r="CA37" s="238"/>
      <c r="CD37" s="236"/>
      <c r="CE37" s="233"/>
      <c r="CF37" s="1"/>
    </row>
    <row r="38" spans="1:84" x14ac:dyDescent="0.25">
      <c r="A38" s="118" t="s">
        <v>46</v>
      </c>
      <c r="B38" s="56" t="s">
        <v>156</v>
      </c>
      <c r="C38" s="120"/>
      <c r="D38" s="275"/>
      <c r="E38" s="275"/>
      <c r="F38" s="275"/>
      <c r="G38" s="275"/>
      <c r="H38" s="218"/>
      <c r="I38" s="218"/>
      <c r="J38" s="218"/>
      <c r="K38" s="218"/>
      <c r="L38" s="218"/>
      <c r="M38" s="128">
        <v>1</v>
      </c>
      <c r="N38" s="56"/>
      <c r="O38" s="211"/>
      <c r="P38" s="119"/>
      <c r="Q38" s="154"/>
      <c r="R38" s="154"/>
      <c r="S38" s="226"/>
      <c r="T38" s="226"/>
      <c r="U38" s="226"/>
      <c r="V38" s="154"/>
      <c r="W38" s="1"/>
      <c r="X38" s="1"/>
      <c r="Y38" s="1"/>
      <c r="Z38" s="1"/>
      <c r="AA38" s="234"/>
      <c r="AB38" s="148"/>
      <c r="AC38" s="234"/>
      <c r="AD38" s="148"/>
      <c r="AE38" s="236"/>
      <c r="AH38" s="236"/>
      <c r="AI38" s="248"/>
      <c r="AJ38" s="148"/>
      <c r="AK38" s="234"/>
      <c r="AL38" s="148"/>
      <c r="AM38" s="254"/>
      <c r="AP38" s="254"/>
      <c r="AQ38" s="248"/>
      <c r="AR38" s="260"/>
      <c r="AS38" s="148"/>
      <c r="AT38" s="234"/>
      <c r="AU38" s="238"/>
      <c r="AX38" s="236"/>
      <c r="AY38" s="266"/>
      <c r="AZ38" s="260"/>
      <c r="BA38" s="148"/>
      <c r="BB38" s="234"/>
      <c r="BC38" s="119"/>
      <c r="BF38" s="254"/>
      <c r="BG38" s="248"/>
      <c r="BH38" s="260"/>
      <c r="BI38" s="148"/>
      <c r="BJ38" s="234"/>
      <c r="BK38" s="238"/>
      <c r="BN38" s="236"/>
      <c r="BO38" s="260"/>
      <c r="BP38" s="260"/>
      <c r="BQ38" s="148"/>
      <c r="BR38" s="234"/>
      <c r="BS38" s="119"/>
      <c r="BV38" s="254"/>
      <c r="BW38" s="248"/>
      <c r="BX38" s="260"/>
      <c r="BY38" s="148"/>
      <c r="BZ38" s="234"/>
      <c r="CA38" s="238"/>
      <c r="CD38" s="236"/>
      <c r="CE38" s="233"/>
      <c r="CF38" s="1"/>
    </row>
    <row r="39" spans="1:84" x14ac:dyDescent="0.25">
      <c r="A39" s="118" t="s">
        <v>47</v>
      </c>
      <c r="B39" s="56" t="s">
        <v>158</v>
      </c>
      <c r="C39" s="120"/>
      <c r="D39" s="275"/>
      <c r="E39" s="275"/>
      <c r="F39" s="275"/>
      <c r="G39" s="275"/>
      <c r="H39" s="218"/>
      <c r="I39" s="218"/>
      <c r="J39" s="218"/>
      <c r="K39" s="218"/>
      <c r="L39" s="218"/>
      <c r="M39" s="128">
        <v>1</v>
      </c>
      <c r="N39" s="56"/>
      <c r="O39" s="211"/>
      <c r="P39" s="119"/>
      <c r="Q39" s="154"/>
      <c r="R39" s="154"/>
      <c r="S39" s="226"/>
      <c r="T39" s="226"/>
      <c r="U39" s="226"/>
      <c r="V39" s="154"/>
      <c r="W39" s="1"/>
      <c r="X39" s="1"/>
      <c r="Y39" s="1"/>
      <c r="Z39" s="1"/>
      <c r="AA39" s="234"/>
      <c r="AB39" s="148"/>
      <c r="AC39" s="234"/>
      <c r="AD39" s="148"/>
      <c r="AE39" s="236"/>
      <c r="AH39" s="236"/>
      <c r="AI39" s="248"/>
      <c r="AJ39" s="148"/>
      <c r="AK39" s="234"/>
      <c r="AL39" s="148"/>
      <c r="AM39" s="254"/>
      <c r="AP39" s="254"/>
      <c r="AQ39" s="248"/>
      <c r="AR39" s="260"/>
      <c r="AS39" s="148"/>
      <c r="AT39" s="234"/>
      <c r="AU39" s="238"/>
      <c r="AX39" s="236"/>
      <c r="AY39" s="266"/>
      <c r="AZ39" s="260"/>
      <c r="BA39" s="148"/>
      <c r="BB39" s="234"/>
      <c r="BC39" s="119"/>
      <c r="BF39" s="254"/>
      <c r="BG39" s="248"/>
      <c r="BH39" s="260"/>
      <c r="BI39" s="148"/>
      <c r="BJ39" s="234"/>
      <c r="BK39" s="238"/>
      <c r="BN39" s="236"/>
      <c r="BO39" s="260"/>
      <c r="BP39" s="260"/>
      <c r="BQ39" s="148"/>
      <c r="BR39" s="234"/>
      <c r="BS39" s="119"/>
      <c r="BV39" s="254"/>
      <c r="BW39" s="248"/>
      <c r="BX39" s="260"/>
      <c r="BY39" s="148"/>
      <c r="BZ39" s="234"/>
      <c r="CA39" s="238"/>
      <c r="CD39" s="236"/>
      <c r="CE39" s="233"/>
      <c r="CF39" s="1"/>
    </row>
    <row r="40" spans="1:84" x14ac:dyDescent="0.25">
      <c r="A40" s="118" t="s">
        <v>48</v>
      </c>
      <c r="B40" s="56" t="s">
        <v>156</v>
      </c>
      <c r="C40" s="120"/>
      <c r="D40" s="275"/>
      <c r="E40" s="275"/>
      <c r="F40" s="275"/>
      <c r="G40" s="275"/>
      <c r="H40" s="218"/>
      <c r="I40" s="218"/>
      <c r="J40" s="218"/>
      <c r="K40" s="218"/>
      <c r="L40" s="218"/>
      <c r="M40" s="128">
        <v>1</v>
      </c>
      <c r="N40" s="56"/>
      <c r="O40" s="211"/>
      <c r="P40" s="119"/>
      <c r="Q40" s="154"/>
      <c r="R40" s="154"/>
      <c r="S40" s="226"/>
      <c r="T40" s="226"/>
      <c r="U40" s="226"/>
      <c r="V40" s="154"/>
      <c r="W40" s="1"/>
      <c r="X40" s="1"/>
      <c r="Y40" s="1"/>
      <c r="Z40" s="1"/>
      <c r="AA40" s="234"/>
      <c r="AB40" s="148"/>
      <c r="AC40" s="234"/>
      <c r="AD40" s="148"/>
      <c r="AE40" s="236"/>
      <c r="AH40" s="236"/>
      <c r="AI40" s="248"/>
      <c r="AJ40" s="148"/>
      <c r="AK40" s="234"/>
      <c r="AL40" s="148"/>
      <c r="AM40" s="254"/>
      <c r="AP40" s="254"/>
      <c r="AQ40" s="248"/>
      <c r="AR40" s="260"/>
      <c r="AS40" s="148"/>
      <c r="AT40" s="234"/>
      <c r="AU40" s="238"/>
      <c r="AX40" s="236"/>
      <c r="AY40" s="266"/>
      <c r="AZ40" s="260"/>
      <c r="BA40" s="148"/>
      <c r="BB40" s="234"/>
      <c r="BC40" s="119"/>
      <c r="BF40" s="254"/>
      <c r="BG40" s="248"/>
      <c r="BH40" s="260"/>
      <c r="BI40" s="148"/>
      <c r="BJ40" s="234"/>
      <c r="BK40" s="238"/>
      <c r="BN40" s="236"/>
      <c r="BO40" s="260"/>
      <c r="BP40" s="260"/>
      <c r="BQ40" s="148"/>
      <c r="BR40" s="234"/>
      <c r="BS40" s="119"/>
      <c r="BV40" s="254"/>
      <c r="BW40" s="248"/>
      <c r="BX40" s="260"/>
      <c r="BY40" s="148"/>
      <c r="BZ40" s="234"/>
      <c r="CA40" s="238"/>
      <c r="CD40" s="236"/>
      <c r="CE40" s="233"/>
      <c r="CF40" s="1"/>
    </row>
    <row r="41" spans="1:84" x14ac:dyDescent="0.25">
      <c r="A41" s="118" t="s">
        <v>49</v>
      </c>
      <c r="B41" s="56" t="s">
        <v>156</v>
      </c>
      <c r="C41" s="120"/>
      <c r="D41" s="275"/>
      <c r="E41" s="275"/>
      <c r="F41" s="275"/>
      <c r="G41" s="275"/>
      <c r="H41" s="218"/>
      <c r="I41" s="218"/>
      <c r="J41" s="218"/>
      <c r="K41" s="218"/>
      <c r="L41" s="218"/>
      <c r="M41" s="128">
        <v>1</v>
      </c>
      <c r="N41" s="56"/>
      <c r="O41" s="211"/>
      <c r="P41" s="119"/>
      <c r="Q41" s="154"/>
      <c r="R41" s="154"/>
      <c r="S41" s="226"/>
      <c r="T41" s="226"/>
      <c r="U41" s="226"/>
      <c r="V41" s="154"/>
      <c r="W41" s="1"/>
      <c r="X41" s="1"/>
      <c r="Y41" s="1"/>
      <c r="Z41" s="1"/>
      <c r="AA41" s="234"/>
      <c r="AB41" s="148"/>
      <c r="AC41" s="234"/>
      <c r="AD41" s="148"/>
      <c r="AE41" s="236"/>
      <c r="AH41" s="236"/>
      <c r="AI41" s="248"/>
      <c r="AJ41" s="148"/>
      <c r="AK41" s="234"/>
      <c r="AL41" s="148"/>
      <c r="AM41" s="254"/>
      <c r="AP41" s="254"/>
      <c r="AQ41" s="248"/>
      <c r="AR41" s="260"/>
      <c r="AS41" s="148"/>
      <c r="AT41" s="234"/>
      <c r="AU41" s="238"/>
      <c r="AX41" s="236"/>
      <c r="AY41" s="266"/>
      <c r="AZ41" s="260"/>
      <c r="BA41" s="148"/>
      <c r="BB41" s="234"/>
      <c r="BC41" s="119"/>
      <c r="BF41" s="254"/>
      <c r="BG41" s="248"/>
      <c r="BH41" s="260"/>
      <c r="BI41" s="148"/>
      <c r="BJ41" s="234"/>
      <c r="BK41" s="238"/>
      <c r="BN41" s="236"/>
      <c r="BO41" s="260"/>
      <c r="BP41" s="260"/>
      <c r="BQ41" s="148"/>
      <c r="BR41" s="234"/>
      <c r="BS41" s="119"/>
      <c r="BV41" s="254"/>
      <c r="BW41" s="248"/>
      <c r="BX41" s="260"/>
      <c r="BY41" s="148"/>
      <c r="BZ41" s="234"/>
      <c r="CA41" s="238"/>
      <c r="CD41" s="236"/>
      <c r="CE41" s="233"/>
      <c r="CF41" s="1"/>
    </row>
    <row r="42" spans="1:84" x14ac:dyDescent="0.25">
      <c r="A42" s="118" t="s">
        <v>50</v>
      </c>
      <c r="B42" s="56" t="s">
        <v>156</v>
      </c>
      <c r="C42" s="120"/>
      <c r="D42" s="275"/>
      <c r="E42" s="275"/>
      <c r="F42" s="275"/>
      <c r="G42" s="275"/>
      <c r="H42" s="218"/>
      <c r="I42" s="218"/>
      <c r="J42" s="218"/>
      <c r="K42" s="218"/>
      <c r="L42" s="218"/>
      <c r="M42" s="128">
        <v>1</v>
      </c>
      <c r="N42" s="56"/>
      <c r="O42" s="211"/>
      <c r="P42" s="119"/>
      <c r="Q42" s="154"/>
      <c r="R42" s="154"/>
      <c r="S42" s="226"/>
      <c r="T42" s="226"/>
      <c r="U42" s="226"/>
      <c r="V42" s="154"/>
      <c r="W42" s="1"/>
      <c r="X42" s="1"/>
      <c r="Y42" s="1"/>
      <c r="Z42" s="1"/>
      <c r="AA42" s="234"/>
      <c r="AB42" s="148"/>
      <c r="AC42" s="234"/>
      <c r="AD42" s="148"/>
      <c r="AE42" s="236"/>
      <c r="AH42" s="236"/>
      <c r="AI42" s="248"/>
      <c r="AJ42" s="148"/>
      <c r="AK42" s="234"/>
      <c r="AL42" s="148"/>
      <c r="AM42" s="254"/>
      <c r="AP42" s="254"/>
      <c r="AQ42" s="248"/>
      <c r="AR42" s="260"/>
      <c r="AS42" s="148"/>
      <c r="AT42" s="234"/>
      <c r="AU42" s="238"/>
      <c r="AX42" s="236"/>
      <c r="AY42" s="266"/>
      <c r="AZ42" s="260"/>
      <c r="BA42" s="148"/>
      <c r="BB42" s="234"/>
      <c r="BC42" s="119"/>
      <c r="BF42" s="254"/>
      <c r="BG42" s="248"/>
      <c r="BH42" s="260"/>
      <c r="BI42" s="148"/>
      <c r="BJ42" s="234"/>
      <c r="BK42" s="238"/>
      <c r="BN42" s="236"/>
      <c r="BO42" s="260"/>
      <c r="BP42" s="260"/>
      <c r="BQ42" s="148"/>
      <c r="BR42" s="234"/>
      <c r="BS42" s="119"/>
      <c r="BV42" s="254"/>
      <c r="BW42" s="248"/>
      <c r="BX42" s="260"/>
      <c r="BY42" s="148"/>
      <c r="BZ42" s="234"/>
      <c r="CA42" s="238"/>
      <c r="CD42" s="236"/>
      <c r="CE42" s="233"/>
      <c r="CF42" s="1"/>
    </row>
    <row r="43" spans="1:84" x14ac:dyDescent="0.25">
      <c r="A43" s="118" t="s">
        <v>51</v>
      </c>
      <c r="B43" s="56" t="s">
        <v>156</v>
      </c>
      <c r="C43" s="120"/>
      <c r="D43" s="275"/>
      <c r="E43" s="275"/>
      <c r="F43" s="275"/>
      <c r="G43" s="275"/>
      <c r="H43" s="218"/>
      <c r="I43" s="218"/>
      <c r="J43" s="218"/>
      <c r="K43" s="218"/>
      <c r="L43" s="218"/>
      <c r="M43" s="128">
        <v>1</v>
      </c>
      <c r="N43" s="56"/>
      <c r="O43" s="211"/>
      <c r="P43" s="119"/>
      <c r="Q43" s="154"/>
      <c r="R43" s="154"/>
      <c r="S43" s="226"/>
      <c r="T43" s="226"/>
      <c r="U43" s="226"/>
      <c r="V43" s="154"/>
      <c r="W43" s="1"/>
      <c r="X43" s="1"/>
      <c r="Y43" s="1"/>
      <c r="Z43" s="1"/>
      <c r="AA43" s="234"/>
      <c r="AB43" s="148"/>
      <c r="AC43" s="234"/>
      <c r="AD43" s="148"/>
      <c r="AE43" s="236"/>
      <c r="AH43" s="236"/>
      <c r="AI43" s="248"/>
      <c r="AJ43" s="148"/>
      <c r="AK43" s="234"/>
      <c r="AL43" s="148"/>
      <c r="AM43" s="254"/>
      <c r="AP43" s="254"/>
      <c r="AQ43" s="248"/>
      <c r="AR43" s="260"/>
      <c r="AS43" s="148"/>
      <c r="AT43" s="234"/>
      <c r="AU43" s="238"/>
      <c r="AX43" s="236"/>
      <c r="AY43" s="266"/>
      <c r="AZ43" s="260"/>
      <c r="BA43" s="148"/>
      <c r="BB43" s="234"/>
      <c r="BC43" s="119"/>
      <c r="BF43" s="254"/>
      <c r="BG43" s="248"/>
      <c r="BH43" s="260"/>
      <c r="BI43" s="148"/>
      <c r="BJ43" s="234"/>
      <c r="BK43" s="238"/>
      <c r="BN43" s="236"/>
      <c r="BO43" s="260"/>
      <c r="BP43" s="260"/>
      <c r="BQ43" s="148"/>
      <c r="BR43" s="234"/>
      <c r="BS43" s="119"/>
      <c r="BV43" s="254"/>
      <c r="BW43" s="248"/>
      <c r="BX43" s="260"/>
      <c r="BY43" s="148"/>
      <c r="BZ43" s="234"/>
      <c r="CA43" s="238"/>
      <c r="CD43" s="236"/>
      <c r="CE43" s="233"/>
      <c r="CF43" s="1"/>
    </row>
    <row r="44" spans="1:84" x14ac:dyDescent="0.25">
      <c r="A44" s="118" t="s">
        <v>52</v>
      </c>
      <c r="B44" s="56" t="s">
        <v>156</v>
      </c>
      <c r="C44" s="120"/>
      <c r="D44" s="275"/>
      <c r="E44" s="275"/>
      <c r="F44" s="275"/>
      <c r="G44" s="275"/>
      <c r="H44" s="218"/>
      <c r="I44" s="218"/>
      <c r="J44" s="218"/>
      <c r="K44" s="218"/>
      <c r="L44" s="218"/>
      <c r="M44" s="128">
        <v>1</v>
      </c>
      <c r="N44" s="56"/>
      <c r="O44" s="211"/>
      <c r="P44" s="119"/>
      <c r="Q44" s="154"/>
      <c r="R44" s="154"/>
      <c r="S44" s="226"/>
      <c r="T44" s="226"/>
      <c r="U44" s="226"/>
      <c r="V44" s="154"/>
      <c r="W44" s="1"/>
      <c r="X44" s="1"/>
      <c r="Y44" s="1"/>
      <c r="Z44" s="1"/>
      <c r="AA44" s="234"/>
      <c r="AB44" s="148"/>
      <c r="AC44" s="234"/>
      <c r="AD44" s="148"/>
      <c r="AE44" s="236"/>
      <c r="AH44" s="236"/>
      <c r="AI44" s="248"/>
      <c r="AJ44" s="148"/>
      <c r="AK44" s="234"/>
      <c r="AL44" s="148"/>
      <c r="AM44" s="254"/>
      <c r="AP44" s="254"/>
      <c r="AQ44" s="248"/>
      <c r="AR44" s="260"/>
      <c r="AS44" s="148"/>
      <c r="AT44" s="234"/>
      <c r="AU44" s="238"/>
      <c r="AX44" s="236"/>
      <c r="AY44" s="266"/>
      <c r="AZ44" s="260"/>
      <c r="BA44" s="148"/>
      <c r="BB44" s="234"/>
      <c r="BC44" s="119"/>
      <c r="BF44" s="254"/>
      <c r="BG44" s="248"/>
      <c r="BH44" s="260"/>
      <c r="BI44" s="148"/>
      <c r="BJ44" s="234"/>
      <c r="BK44" s="238"/>
      <c r="BN44" s="236"/>
      <c r="BO44" s="260"/>
      <c r="BP44" s="260"/>
      <c r="BQ44" s="148"/>
      <c r="BR44" s="234"/>
      <c r="BS44" s="119"/>
      <c r="BV44" s="254"/>
      <c r="BW44" s="248"/>
      <c r="BX44" s="260"/>
      <c r="BY44" s="148"/>
      <c r="BZ44" s="234"/>
      <c r="CA44" s="238"/>
      <c r="CD44" s="236"/>
      <c r="CE44" s="233"/>
      <c r="CF44" s="1"/>
    </row>
    <row r="45" spans="1:84" x14ac:dyDescent="0.25">
      <c r="A45" s="118" t="s">
        <v>53</v>
      </c>
      <c r="B45" s="56" t="s">
        <v>157</v>
      </c>
      <c r="C45" s="120"/>
      <c r="D45" s="275"/>
      <c r="E45" s="275"/>
      <c r="F45" s="275"/>
      <c r="G45" s="275"/>
      <c r="H45" s="218"/>
      <c r="I45" s="218"/>
      <c r="J45" s="218"/>
      <c r="K45" s="218"/>
      <c r="L45" s="218"/>
      <c r="M45" s="128">
        <v>1</v>
      </c>
      <c r="N45" s="56"/>
      <c r="O45" s="211"/>
      <c r="P45" s="119"/>
      <c r="Q45" s="154"/>
      <c r="R45" s="154"/>
      <c r="S45" s="226"/>
      <c r="T45" s="226"/>
      <c r="U45" s="226"/>
      <c r="V45" s="154"/>
      <c r="W45" s="1"/>
      <c r="X45" s="1"/>
      <c r="Y45" s="1"/>
      <c r="Z45" s="1"/>
      <c r="AA45" s="234"/>
      <c r="AB45" s="148"/>
      <c r="AC45" s="234"/>
      <c r="AD45" s="148"/>
      <c r="AE45" s="236"/>
      <c r="AH45" s="236"/>
      <c r="AI45" s="248"/>
      <c r="AJ45" s="148"/>
      <c r="AK45" s="234"/>
      <c r="AL45" s="148"/>
      <c r="AM45" s="254"/>
      <c r="AP45" s="254"/>
      <c r="AQ45" s="248"/>
      <c r="AR45" s="260"/>
      <c r="AS45" s="148"/>
      <c r="AT45" s="234"/>
      <c r="AU45" s="238"/>
      <c r="AX45" s="236"/>
      <c r="AY45" s="266"/>
      <c r="AZ45" s="260"/>
      <c r="BA45" s="148"/>
      <c r="BB45" s="234"/>
      <c r="BC45" s="119"/>
      <c r="BF45" s="254"/>
      <c r="BG45" s="248"/>
      <c r="BH45" s="260"/>
      <c r="BI45" s="148"/>
      <c r="BJ45" s="234"/>
      <c r="BK45" s="238"/>
      <c r="BN45" s="236"/>
      <c r="BO45" s="260"/>
      <c r="BP45" s="260"/>
      <c r="BQ45" s="148"/>
      <c r="BR45" s="234"/>
      <c r="BS45" s="119"/>
      <c r="BV45" s="254"/>
      <c r="BW45" s="248"/>
      <c r="BX45" s="260"/>
      <c r="BY45" s="148"/>
      <c r="BZ45" s="234"/>
      <c r="CA45" s="238"/>
      <c r="CD45" s="236"/>
      <c r="CE45" s="233"/>
      <c r="CF45" s="1"/>
    </row>
    <row r="46" spans="1:84" x14ac:dyDescent="0.25">
      <c r="A46" s="118" t="s">
        <v>54</v>
      </c>
      <c r="B46" s="56" t="s">
        <v>149</v>
      </c>
      <c r="C46" s="120"/>
      <c r="D46" s="275"/>
      <c r="E46" s="275"/>
      <c r="F46" s="275"/>
      <c r="G46" s="275"/>
      <c r="H46" s="218"/>
      <c r="I46" s="218"/>
      <c r="J46" s="218"/>
      <c r="K46" s="218"/>
      <c r="L46" s="218"/>
      <c r="M46" s="128">
        <v>1</v>
      </c>
      <c r="N46" s="56"/>
      <c r="O46" s="211"/>
      <c r="P46" s="119"/>
      <c r="Q46" s="154"/>
      <c r="R46" s="154"/>
      <c r="S46" s="226"/>
      <c r="T46" s="226"/>
      <c r="U46" s="226"/>
      <c r="V46" s="154"/>
      <c r="W46" s="1"/>
      <c r="X46" s="1"/>
      <c r="Y46" s="1"/>
      <c r="Z46" s="1"/>
      <c r="AA46" s="234"/>
      <c r="AB46" s="148"/>
      <c r="AC46" s="234"/>
      <c r="AD46" s="148"/>
      <c r="AE46" s="236"/>
      <c r="AH46" s="236"/>
      <c r="AI46" s="248"/>
      <c r="AJ46" s="148"/>
      <c r="AK46" s="234"/>
      <c r="AL46" s="148"/>
      <c r="AM46" s="254"/>
      <c r="AP46" s="254"/>
      <c r="AQ46" s="248"/>
      <c r="AR46" s="260"/>
      <c r="AS46" s="148"/>
      <c r="AT46" s="234"/>
      <c r="AU46" s="238"/>
      <c r="AX46" s="236"/>
      <c r="AY46" s="266"/>
      <c r="AZ46" s="260"/>
      <c r="BA46" s="148"/>
      <c r="BB46" s="234"/>
      <c r="BC46" s="119"/>
      <c r="BF46" s="254"/>
      <c r="BG46" s="248"/>
      <c r="BH46" s="260"/>
      <c r="BI46" s="148"/>
      <c r="BJ46" s="234"/>
      <c r="BK46" s="238"/>
      <c r="BN46" s="236"/>
      <c r="BO46" s="260"/>
      <c r="BP46" s="260"/>
      <c r="BQ46" s="148"/>
      <c r="BR46" s="234"/>
      <c r="BS46" s="119"/>
      <c r="BV46" s="254"/>
      <c r="BW46" s="248"/>
      <c r="BX46" s="260"/>
      <c r="BY46" s="148"/>
      <c r="BZ46" s="234"/>
      <c r="CA46" s="238"/>
      <c r="CD46" s="236"/>
      <c r="CE46" s="233"/>
      <c r="CF46" s="1"/>
    </row>
    <row r="47" spans="1:84" x14ac:dyDescent="0.25">
      <c r="A47" s="118" t="s">
        <v>55</v>
      </c>
      <c r="B47" s="56" t="s">
        <v>159</v>
      </c>
      <c r="C47" s="120"/>
      <c r="D47" s="275"/>
      <c r="E47" s="275"/>
      <c r="F47" s="275"/>
      <c r="G47" s="275"/>
      <c r="H47" s="218"/>
      <c r="I47" s="218"/>
      <c r="J47" s="218"/>
      <c r="K47" s="218"/>
      <c r="L47" s="218"/>
      <c r="M47" s="128">
        <v>1</v>
      </c>
      <c r="N47" s="56"/>
      <c r="O47" s="149"/>
      <c r="P47" s="119"/>
      <c r="Q47" s="154"/>
      <c r="R47" s="154"/>
      <c r="S47" s="226"/>
      <c r="T47" s="226"/>
      <c r="U47" s="226"/>
      <c r="V47" s="154"/>
      <c r="W47" s="1"/>
      <c r="X47" s="1"/>
      <c r="Y47" s="1"/>
      <c r="Z47" s="1"/>
      <c r="AA47" s="234"/>
      <c r="AB47" s="148"/>
      <c r="AC47" s="234"/>
      <c r="AD47" s="148"/>
      <c r="AE47" s="236"/>
      <c r="AH47" s="236"/>
      <c r="AI47" s="248"/>
      <c r="AJ47" s="148"/>
      <c r="AK47" s="234"/>
      <c r="AL47" s="148"/>
      <c r="AM47" s="254"/>
      <c r="AP47" s="254"/>
      <c r="AQ47" s="248"/>
      <c r="AR47" s="260"/>
      <c r="AS47" s="148"/>
      <c r="AT47" s="234"/>
      <c r="AU47" s="238"/>
      <c r="AX47" s="236"/>
      <c r="AY47" s="266"/>
      <c r="AZ47" s="260"/>
      <c r="BA47" s="148"/>
      <c r="BB47" s="234"/>
      <c r="BC47" s="119"/>
      <c r="BF47" s="254"/>
      <c r="BG47" s="248"/>
      <c r="BH47" s="260"/>
      <c r="BI47" s="148"/>
      <c r="BJ47" s="234"/>
      <c r="BK47" s="238"/>
      <c r="BN47" s="236"/>
      <c r="BO47" s="260"/>
      <c r="BP47" s="260"/>
      <c r="BQ47" s="148"/>
      <c r="BR47" s="234"/>
      <c r="BS47" s="119"/>
      <c r="BV47" s="254"/>
      <c r="BW47" s="248"/>
      <c r="BX47" s="260"/>
      <c r="BY47" s="148"/>
      <c r="BZ47" s="234"/>
      <c r="CA47" s="238"/>
      <c r="CD47" s="236"/>
      <c r="CE47" s="233"/>
      <c r="CF47" s="1"/>
    </row>
    <row r="48" spans="1:84" x14ac:dyDescent="0.25">
      <c r="A48" s="118" t="s">
        <v>56</v>
      </c>
      <c r="B48" s="56" t="s">
        <v>156</v>
      </c>
      <c r="C48" s="120"/>
      <c r="D48" s="275"/>
      <c r="E48" s="275"/>
      <c r="F48" s="275"/>
      <c r="G48" s="275"/>
      <c r="H48" s="218"/>
      <c r="I48" s="218"/>
      <c r="J48" s="218"/>
      <c r="K48" s="218"/>
      <c r="L48" s="218"/>
      <c r="M48" s="128">
        <v>1</v>
      </c>
      <c r="N48" s="56"/>
      <c r="O48" s="211"/>
      <c r="P48" s="119"/>
      <c r="Q48" s="154"/>
      <c r="R48" s="154"/>
      <c r="S48" s="226"/>
      <c r="T48" s="226"/>
      <c r="U48" s="226"/>
      <c r="V48" s="154"/>
      <c r="W48" s="1"/>
      <c r="X48" s="1"/>
      <c r="Y48" s="1"/>
      <c r="Z48" s="1"/>
      <c r="AA48" s="234"/>
      <c r="AB48" s="148"/>
      <c r="AC48" s="234"/>
      <c r="AD48" s="148"/>
      <c r="AE48" s="236"/>
      <c r="AH48" s="236"/>
      <c r="AI48" s="248"/>
      <c r="AJ48" s="148"/>
      <c r="AK48" s="234"/>
      <c r="AL48" s="148"/>
      <c r="AM48" s="254"/>
      <c r="AP48" s="254"/>
      <c r="AQ48" s="248"/>
      <c r="AR48" s="260"/>
      <c r="AS48" s="148"/>
      <c r="AT48" s="234"/>
      <c r="AU48" s="238"/>
      <c r="AX48" s="236"/>
      <c r="AY48" s="266"/>
      <c r="AZ48" s="260"/>
      <c r="BA48" s="148"/>
      <c r="BB48" s="234"/>
      <c r="BC48" s="119"/>
      <c r="BF48" s="254"/>
      <c r="BG48" s="248"/>
      <c r="BH48" s="260"/>
      <c r="BI48" s="148"/>
      <c r="BJ48" s="234"/>
      <c r="BK48" s="238"/>
      <c r="BN48" s="236"/>
      <c r="BO48" s="260"/>
      <c r="BP48" s="260"/>
      <c r="BQ48" s="148"/>
      <c r="BR48" s="234"/>
      <c r="BS48" s="119"/>
      <c r="BV48" s="254"/>
      <c r="BW48" s="248"/>
      <c r="BX48" s="260"/>
      <c r="BY48" s="148"/>
      <c r="BZ48" s="234"/>
      <c r="CA48" s="238"/>
      <c r="CD48" s="236"/>
      <c r="CE48" s="233"/>
      <c r="CF48" s="1"/>
    </row>
    <row r="49" spans="1:84" x14ac:dyDescent="0.25">
      <c r="A49" s="118" t="s">
        <v>57</v>
      </c>
      <c r="B49" s="56" t="s">
        <v>157</v>
      </c>
      <c r="C49" s="120"/>
      <c r="D49" s="275"/>
      <c r="E49" s="275"/>
      <c r="F49" s="275"/>
      <c r="G49" s="275"/>
      <c r="H49" s="218"/>
      <c r="I49" s="218"/>
      <c r="J49" s="218"/>
      <c r="K49" s="218"/>
      <c r="L49" s="218"/>
      <c r="M49" s="128">
        <v>1</v>
      </c>
      <c r="N49" s="56"/>
      <c r="O49" s="211"/>
      <c r="P49" s="119"/>
      <c r="Q49" s="154"/>
      <c r="R49" s="154"/>
      <c r="S49" s="226"/>
      <c r="T49" s="226"/>
      <c r="U49" s="226"/>
      <c r="V49" s="154"/>
      <c r="W49" s="1"/>
      <c r="X49" s="1"/>
      <c r="Y49" s="1"/>
      <c r="Z49" s="1"/>
      <c r="AA49" s="234"/>
      <c r="AB49" s="148"/>
      <c r="AC49" s="234"/>
      <c r="AD49" s="148"/>
      <c r="AE49" s="236"/>
      <c r="AH49" s="236"/>
      <c r="AI49" s="248"/>
      <c r="AJ49" s="148"/>
      <c r="AK49" s="234"/>
      <c r="AL49" s="148"/>
      <c r="AM49" s="254"/>
      <c r="AP49" s="254"/>
      <c r="AQ49" s="248"/>
      <c r="AR49" s="260"/>
      <c r="AS49" s="148"/>
      <c r="AT49" s="234"/>
      <c r="AU49" s="238"/>
      <c r="AX49" s="236"/>
      <c r="AY49" s="266"/>
      <c r="AZ49" s="260"/>
      <c r="BA49" s="148"/>
      <c r="BB49" s="234"/>
      <c r="BC49" s="119"/>
      <c r="BF49" s="254"/>
      <c r="BG49" s="248"/>
      <c r="BH49" s="260"/>
      <c r="BI49" s="148"/>
      <c r="BJ49" s="234"/>
      <c r="BK49" s="238"/>
      <c r="BN49" s="236"/>
      <c r="BO49" s="260"/>
      <c r="BP49" s="260"/>
      <c r="BQ49" s="148"/>
      <c r="BR49" s="234"/>
      <c r="BS49" s="119"/>
      <c r="BV49" s="254"/>
      <c r="BW49" s="248"/>
      <c r="BX49" s="260"/>
      <c r="BY49" s="148"/>
      <c r="BZ49" s="234"/>
      <c r="CA49" s="238"/>
      <c r="CD49" s="236"/>
      <c r="CE49" s="233"/>
      <c r="CF49" s="1"/>
    </row>
    <row r="50" spans="1:84" x14ac:dyDescent="0.25">
      <c r="A50" s="118" t="s">
        <v>58</v>
      </c>
      <c r="B50" s="56" t="s">
        <v>157</v>
      </c>
      <c r="C50" s="120"/>
      <c r="D50" s="275"/>
      <c r="E50" s="275"/>
      <c r="F50" s="275"/>
      <c r="G50" s="275"/>
      <c r="H50" s="218"/>
      <c r="I50" s="218"/>
      <c r="J50" s="218"/>
      <c r="K50" s="218"/>
      <c r="L50" s="218"/>
      <c r="M50" s="128">
        <v>1</v>
      </c>
      <c r="N50" s="56"/>
      <c r="O50" s="211"/>
      <c r="P50" s="119"/>
      <c r="Q50" s="154"/>
      <c r="R50" s="154"/>
      <c r="S50" s="226"/>
      <c r="T50" s="226"/>
      <c r="U50" s="226"/>
      <c r="V50" s="154"/>
      <c r="W50" s="1"/>
      <c r="X50" s="1"/>
      <c r="Y50" s="1"/>
      <c r="Z50" s="1"/>
      <c r="AA50" s="234"/>
      <c r="AB50" s="148"/>
      <c r="AC50" s="234"/>
      <c r="AD50" s="148"/>
      <c r="AE50" s="236"/>
      <c r="AH50" s="236"/>
      <c r="AI50" s="248"/>
      <c r="AJ50" s="148"/>
      <c r="AK50" s="234"/>
      <c r="AL50" s="148"/>
      <c r="AM50" s="254"/>
      <c r="AP50" s="254"/>
      <c r="AQ50" s="248"/>
      <c r="AR50" s="260"/>
      <c r="AS50" s="148"/>
      <c r="AT50" s="234"/>
      <c r="AU50" s="238"/>
      <c r="AX50" s="236"/>
      <c r="AY50" s="266"/>
      <c r="AZ50" s="260"/>
      <c r="BA50" s="148"/>
      <c r="BB50" s="234"/>
      <c r="BC50" s="119"/>
      <c r="BF50" s="254"/>
      <c r="BG50" s="248"/>
      <c r="BH50" s="260"/>
      <c r="BI50" s="148"/>
      <c r="BJ50" s="234"/>
      <c r="BK50" s="238"/>
      <c r="BN50" s="236"/>
      <c r="BO50" s="260"/>
      <c r="BP50" s="260"/>
      <c r="BQ50" s="148"/>
      <c r="BR50" s="234"/>
      <c r="BS50" s="119"/>
      <c r="BV50" s="254"/>
      <c r="BW50" s="248"/>
      <c r="BX50" s="260"/>
      <c r="BY50" s="148"/>
      <c r="BZ50" s="234"/>
      <c r="CA50" s="238"/>
      <c r="CD50" s="236"/>
      <c r="CE50" s="233"/>
      <c r="CF50" s="1"/>
    </row>
    <row r="51" spans="1:84" x14ac:dyDescent="0.25">
      <c r="A51" s="118" t="s">
        <v>59</v>
      </c>
      <c r="B51" s="56" t="s">
        <v>157</v>
      </c>
      <c r="C51" s="120"/>
      <c r="D51" s="275"/>
      <c r="E51" s="275"/>
      <c r="F51" s="275"/>
      <c r="G51" s="275"/>
      <c r="H51" s="218"/>
      <c r="I51" s="218"/>
      <c r="J51" s="218"/>
      <c r="K51" s="218"/>
      <c r="L51" s="218"/>
      <c r="M51" s="128">
        <v>1</v>
      </c>
      <c r="N51" s="56"/>
      <c r="O51" s="211"/>
      <c r="P51" s="119"/>
      <c r="Q51" s="154"/>
      <c r="R51" s="154"/>
      <c r="S51" s="226"/>
      <c r="T51" s="226"/>
      <c r="U51" s="226"/>
      <c r="V51" s="154"/>
      <c r="W51" s="1"/>
      <c r="X51" s="1"/>
      <c r="Y51" s="1"/>
      <c r="Z51" s="1"/>
      <c r="AA51" s="234"/>
      <c r="AB51" s="148"/>
      <c r="AC51" s="234"/>
      <c r="AD51" s="148"/>
      <c r="AE51" s="236"/>
      <c r="AH51" s="236"/>
      <c r="AI51" s="248"/>
      <c r="AJ51" s="148"/>
      <c r="AK51" s="234"/>
      <c r="AL51" s="148"/>
      <c r="AM51" s="254"/>
      <c r="AP51" s="254"/>
      <c r="AQ51" s="248"/>
      <c r="AR51" s="260"/>
      <c r="AS51" s="148"/>
      <c r="AT51" s="234"/>
      <c r="AU51" s="238"/>
      <c r="AX51" s="236"/>
      <c r="AY51" s="266"/>
      <c r="AZ51" s="260"/>
      <c r="BA51" s="148"/>
      <c r="BB51" s="234"/>
      <c r="BC51" s="119"/>
      <c r="BF51" s="254"/>
      <c r="BG51" s="248"/>
      <c r="BH51" s="260"/>
      <c r="BI51" s="148"/>
      <c r="BJ51" s="234"/>
      <c r="BK51" s="238"/>
      <c r="BN51" s="236"/>
      <c r="BO51" s="260"/>
      <c r="BP51" s="260"/>
      <c r="BQ51" s="148"/>
      <c r="BR51" s="234"/>
      <c r="BS51" s="119"/>
      <c r="BV51" s="254"/>
      <c r="BW51" s="248"/>
      <c r="BX51" s="260"/>
      <c r="BY51" s="148"/>
      <c r="BZ51" s="234"/>
      <c r="CA51" s="238"/>
      <c r="CD51" s="236"/>
      <c r="CE51" s="233"/>
      <c r="CF51" s="1"/>
    </row>
    <row r="52" spans="1:84" x14ac:dyDescent="0.25">
      <c r="A52" s="118" t="s">
        <v>60</v>
      </c>
      <c r="B52" s="56" t="s">
        <v>149</v>
      </c>
      <c r="C52" s="120"/>
      <c r="D52" s="275"/>
      <c r="E52" s="275"/>
      <c r="F52" s="275"/>
      <c r="G52" s="275"/>
      <c r="H52" s="218"/>
      <c r="I52" s="218"/>
      <c r="J52" s="218"/>
      <c r="K52" s="218"/>
      <c r="L52" s="218"/>
      <c r="M52" s="128">
        <v>1</v>
      </c>
      <c r="N52" s="56"/>
      <c r="O52" s="211"/>
      <c r="P52" s="119"/>
      <c r="Q52" s="154"/>
      <c r="R52" s="154"/>
      <c r="S52" s="226"/>
      <c r="T52" s="226"/>
      <c r="U52" s="226"/>
      <c r="V52" s="154"/>
      <c r="W52" s="1"/>
      <c r="X52" s="1"/>
      <c r="Y52" s="1"/>
      <c r="Z52" s="1"/>
      <c r="AA52" s="234"/>
      <c r="AB52" s="148"/>
      <c r="AC52" s="234"/>
      <c r="AD52" s="148"/>
      <c r="AE52" s="236"/>
      <c r="AH52" s="236"/>
      <c r="AI52" s="248"/>
      <c r="AJ52" s="148"/>
      <c r="AK52" s="234"/>
      <c r="AL52" s="148"/>
      <c r="AM52" s="254"/>
      <c r="AP52" s="254"/>
      <c r="AQ52" s="248"/>
      <c r="AR52" s="260"/>
      <c r="AS52" s="148"/>
      <c r="AT52" s="234"/>
      <c r="AU52" s="238"/>
      <c r="AX52" s="236"/>
      <c r="AY52" s="266"/>
      <c r="AZ52" s="260"/>
      <c r="BA52" s="148"/>
      <c r="BB52" s="234"/>
      <c r="BC52" s="119"/>
      <c r="BF52" s="254"/>
      <c r="BG52" s="248"/>
      <c r="BH52" s="260"/>
      <c r="BI52" s="148"/>
      <c r="BJ52" s="234"/>
      <c r="BK52" s="238"/>
      <c r="BN52" s="236"/>
      <c r="BO52" s="260"/>
      <c r="BP52" s="260"/>
      <c r="BQ52" s="148"/>
      <c r="BR52" s="234"/>
      <c r="BS52" s="119"/>
      <c r="BV52" s="254"/>
      <c r="BW52" s="248"/>
      <c r="BX52" s="260"/>
      <c r="BY52" s="148"/>
      <c r="BZ52" s="234"/>
      <c r="CA52" s="238"/>
      <c r="CD52" s="236"/>
      <c r="CE52" s="233"/>
      <c r="CF52" s="1"/>
    </row>
    <row r="53" spans="1:84" x14ac:dyDescent="0.25">
      <c r="A53" s="118" t="s">
        <v>61</v>
      </c>
      <c r="B53" s="56" t="s">
        <v>157</v>
      </c>
      <c r="C53" s="120"/>
      <c r="D53" s="275"/>
      <c r="E53" s="275"/>
      <c r="F53" s="275"/>
      <c r="G53" s="275"/>
      <c r="H53" s="218"/>
      <c r="I53" s="218"/>
      <c r="J53" s="218"/>
      <c r="K53" s="218"/>
      <c r="L53" s="218"/>
      <c r="M53" s="128">
        <v>1</v>
      </c>
      <c r="N53" s="56"/>
      <c r="O53" s="211"/>
      <c r="P53" s="119"/>
      <c r="Q53" s="154"/>
      <c r="R53" s="154"/>
      <c r="S53" s="226"/>
      <c r="T53" s="226"/>
      <c r="U53" s="226"/>
      <c r="V53" s="154"/>
      <c r="W53" s="1"/>
      <c r="X53" s="1"/>
      <c r="Y53" s="1"/>
      <c r="Z53" s="1"/>
      <c r="AA53" s="234"/>
      <c r="AB53" s="148"/>
      <c r="AC53" s="234"/>
      <c r="AD53" s="148"/>
      <c r="AE53" s="236"/>
      <c r="AH53" s="236"/>
      <c r="AI53" s="248"/>
      <c r="AJ53" s="148"/>
      <c r="AK53" s="234"/>
      <c r="AL53" s="148"/>
      <c r="AM53" s="254"/>
      <c r="AP53" s="254"/>
      <c r="AQ53" s="248"/>
      <c r="AR53" s="260"/>
      <c r="AS53" s="148"/>
      <c r="AT53" s="234"/>
      <c r="AU53" s="238"/>
      <c r="AX53" s="236"/>
      <c r="AY53" s="266"/>
      <c r="AZ53" s="260"/>
      <c r="BA53" s="148"/>
      <c r="BB53" s="234"/>
      <c r="BC53" s="119"/>
      <c r="BF53" s="254"/>
      <c r="BG53" s="248"/>
      <c r="BH53" s="260"/>
      <c r="BI53" s="148"/>
      <c r="BJ53" s="234"/>
      <c r="BK53" s="238"/>
      <c r="BN53" s="236"/>
      <c r="BO53" s="260"/>
      <c r="BP53" s="260"/>
      <c r="BQ53" s="148"/>
      <c r="BR53" s="234"/>
      <c r="BS53" s="119"/>
      <c r="BV53" s="254"/>
      <c r="BW53" s="248"/>
      <c r="BX53" s="260"/>
      <c r="BY53" s="148"/>
      <c r="BZ53" s="234"/>
      <c r="CA53" s="238"/>
      <c r="CD53" s="236"/>
      <c r="CE53" s="233"/>
      <c r="CF53" s="1"/>
    </row>
    <row r="54" spans="1:84" x14ac:dyDescent="0.25">
      <c r="A54" s="118" t="s">
        <v>62</v>
      </c>
      <c r="B54" s="56" t="s">
        <v>157</v>
      </c>
      <c r="C54" s="120"/>
      <c r="D54" s="275"/>
      <c r="E54" s="275"/>
      <c r="F54" s="275"/>
      <c r="G54" s="275"/>
      <c r="H54" s="218"/>
      <c r="I54" s="218"/>
      <c r="J54" s="218"/>
      <c r="K54" s="218"/>
      <c r="L54" s="218"/>
      <c r="M54" s="128">
        <v>1</v>
      </c>
      <c r="N54" s="56"/>
      <c r="O54" s="211"/>
      <c r="P54" s="119"/>
      <c r="Q54" s="154"/>
      <c r="R54" s="154"/>
      <c r="S54" s="226"/>
      <c r="T54" s="226"/>
      <c r="U54" s="226"/>
      <c r="V54" s="154"/>
      <c r="W54" s="1"/>
      <c r="X54" s="1"/>
      <c r="Y54" s="1"/>
      <c r="Z54" s="1"/>
      <c r="AA54" s="234"/>
      <c r="AB54" s="148"/>
      <c r="AC54" s="234"/>
      <c r="AD54" s="148"/>
      <c r="AE54" s="236"/>
      <c r="AH54" s="236"/>
      <c r="AI54" s="248"/>
      <c r="AJ54" s="148"/>
      <c r="AK54" s="234"/>
      <c r="AL54" s="148"/>
      <c r="AM54" s="254"/>
      <c r="AP54" s="254"/>
      <c r="AQ54" s="248"/>
      <c r="AR54" s="260"/>
      <c r="AS54" s="148"/>
      <c r="AT54" s="234"/>
      <c r="AU54" s="238"/>
      <c r="AX54" s="236"/>
      <c r="AY54" s="266"/>
      <c r="AZ54" s="260"/>
      <c r="BA54" s="148"/>
      <c r="BB54" s="234"/>
      <c r="BC54" s="119"/>
      <c r="BF54" s="254"/>
      <c r="BG54" s="248"/>
      <c r="BH54" s="260"/>
      <c r="BI54" s="148"/>
      <c r="BJ54" s="234"/>
      <c r="BK54" s="238"/>
      <c r="BN54" s="236"/>
      <c r="BO54" s="260"/>
      <c r="BP54" s="260"/>
      <c r="BQ54" s="148"/>
      <c r="BR54" s="234"/>
      <c r="BS54" s="119"/>
      <c r="BV54" s="254"/>
      <c r="BW54" s="248"/>
      <c r="BX54" s="260"/>
      <c r="BY54" s="148"/>
      <c r="BZ54" s="234"/>
      <c r="CA54" s="238"/>
      <c r="CD54" s="236"/>
      <c r="CE54" s="233"/>
      <c r="CF54" s="1"/>
    </row>
    <row r="55" spans="1:84" x14ac:dyDescent="0.25">
      <c r="A55" s="118" t="s">
        <v>63</v>
      </c>
      <c r="B55" s="56" t="s">
        <v>151</v>
      </c>
      <c r="C55" s="120"/>
      <c r="D55" s="275"/>
      <c r="E55" s="275"/>
      <c r="F55" s="275"/>
      <c r="G55" s="275"/>
      <c r="H55" s="218"/>
      <c r="I55" s="218"/>
      <c r="J55" s="218"/>
      <c r="K55" s="218"/>
      <c r="L55" s="218"/>
      <c r="M55" s="128">
        <v>1</v>
      </c>
      <c r="N55" s="56"/>
      <c r="O55" s="211"/>
      <c r="P55" s="119"/>
      <c r="Q55" s="154"/>
      <c r="R55" s="154"/>
      <c r="S55" s="226"/>
      <c r="T55" s="226"/>
      <c r="U55" s="226"/>
      <c r="V55" s="154"/>
      <c r="W55" s="1"/>
      <c r="X55" s="1"/>
      <c r="Y55" s="1"/>
      <c r="Z55" s="1"/>
      <c r="AA55" s="234"/>
      <c r="AB55" s="148"/>
      <c r="AC55" s="234"/>
      <c r="AD55" s="148"/>
      <c r="AE55" s="236"/>
      <c r="AH55" s="236"/>
      <c r="AI55" s="248"/>
      <c r="AJ55" s="148"/>
      <c r="AK55" s="234"/>
      <c r="AL55" s="148"/>
      <c r="AM55" s="254"/>
      <c r="AP55" s="254"/>
      <c r="AQ55" s="248"/>
      <c r="AR55" s="260"/>
      <c r="AS55" s="148"/>
      <c r="AT55" s="234"/>
      <c r="AU55" s="238"/>
      <c r="AX55" s="236"/>
      <c r="AY55" s="266"/>
      <c r="AZ55" s="260"/>
      <c r="BA55" s="148"/>
      <c r="BB55" s="234"/>
      <c r="BC55" s="119"/>
      <c r="BF55" s="254"/>
      <c r="BG55" s="248"/>
      <c r="BH55" s="260"/>
      <c r="BI55" s="148"/>
      <c r="BJ55" s="234"/>
      <c r="BK55" s="238"/>
      <c r="BN55" s="236"/>
      <c r="BO55" s="260"/>
      <c r="BP55" s="260"/>
      <c r="BQ55" s="148"/>
      <c r="BR55" s="234"/>
      <c r="BS55" s="119"/>
      <c r="BV55" s="254"/>
      <c r="BW55" s="248"/>
      <c r="BX55" s="260"/>
      <c r="BY55" s="148"/>
      <c r="BZ55" s="234"/>
      <c r="CA55" s="238"/>
      <c r="CD55" s="236"/>
      <c r="CE55" s="233"/>
      <c r="CF55" s="1"/>
    </row>
    <row r="56" spans="1:84" x14ac:dyDescent="0.25">
      <c r="A56" s="118" t="s">
        <v>64</v>
      </c>
      <c r="B56" s="56" t="s">
        <v>151</v>
      </c>
      <c r="C56" s="120"/>
      <c r="D56" s="275"/>
      <c r="E56" s="275"/>
      <c r="F56" s="275"/>
      <c r="G56" s="275"/>
      <c r="H56" s="218"/>
      <c r="I56" s="218"/>
      <c r="J56" s="218"/>
      <c r="K56" s="218"/>
      <c r="L56" s="218"/>
      <c r="M56" s="128">
        <v>1</v>
      </c>
      <c r="N56" s="56"/>
      <c r="O56" s="211"/>
      <c r="P56" s="119"/>
      <c r="Q56" s="154"/>
      <c r="R56" s="154"/>
      <c r="S56" s="226"/>
      <c r="T56" s="226"/>
      <c r="U56" s="226"/>
      <c r="V56" s="154"/>
      <c r="W56" s="1"/>
      <c r="X56" s="1"/>
      <c r="Y56" s="1"/>
      <c r="Z56" s="1"/>
      <c r="AA56" s="234"/>
      <c r="AB56" s="148"/>
      <c r="AC56" s="234"/>
      <c r="AD56" s="148"/>
      <c r="AE56" s="236"/>
      <c r="AH56" s="236"/>
      <c r="AI56" s="248"/>
      <c r="AJ56" s="148"/>
      <c r="AK56" s="234"/>
      <c r="AL56" s="148"/>
      <c r="AM56" s="254"/>
      <c r="AP56" s="254"/>
      <c r="AQ56" s="248"/>
      <c r="AR56" s="260"/>
      <c r="AS56" s="148"/>
      <c r="AT56" s="234"/>
      <c r="AU56" s="238"/>
      <c r="AX56" s="236"/>
      <c r="AY56" s="266"/>
      <c r="AZ56" s="260"/>
      <c r="BA56" s="148"/>
      <c r="BB56" s="234"/>
      <c r="BC56" s="119"/>
      <c r="BF56" s="254"/>
      <c r="BG56" s="248"/>
      <c r="BH56" s="260"/>
      <c r="BI56" s="148"/>
      <c r="BJ56" s="234"/>
      <c r="BK56" s="238"/>
      <c r="BN56" s="236"/>
      <c r="BO56" s="260"/>
      <c r="BP56" s="260"/>
      <c r="BQ56" s="148"/>
      <c r="BR56" s="234"/>
      <c r="BS56" s="119"/>
      <c r="BV56" s="254"/>
      <c r="BW56" s="248"/>
      <c r="BX56" s="260"/>
      <c r="BY56" s="148"/>
      <c r="BZ56" s="234"/>
      <c r="CA56" s="238"/>
      <c r="CD56" s="236"/>
      <c r="CE56" s="233"/>
      <c r="CF56" s="1"/>
    </row>
    <row r="57" spans="1:84" x14ac:dyDescent="0.25">
      <c r="A57" s="118" t="s">
        <v>65</v>
      </c>
      <c r="B57" s="56" t="s">
        <v>151</v>
      </c>
      <c r="C57" s="120"/>
      <c r="D57" s="275"/>
      <c r="E57" s="275"/>
      <c r="F57" s="275"/>
      <c r="G57" s="275"/>
      <c r="H57" s="218"/>
      <c r="I57" s="218"/>
      <c r="J57" s="218"/>
      <c r="K57" s="218"/>
      <c r="L57" s="218"/>
      <c r="M57" s="128">
        <v>1</v>
      </c>
      <c r="N57" s="56"/>
      <c r="O57" s="211"/>
      <c r="P57" s="119"/>
      <c r="Q57" s="154"/>
      <c r="R57" s="154"/>
      <c r="S57" s="226"/>
      <c r="T57" s="226"/>
      <c r="U57" s="226"/>
      <c r="V57" s="154"/>
      <c r="W57" s="1"/>
      <c r="X57" s="1"/>
      <c r="Y57" s="1"/>
      <c r="Z57" s="1"/>
      <c r="AA57" s="234"/>
      <c r="AB57" s="148"/>
      <c r="AC57" s="234"/>
      <c r="AD57" s="148"/>
      <c r="AE57" s="236"/>
      <c r="AH57" s="236"/>
      <c r="AI57" s="248"/>
      <c r="AJ57" s="148"/>
      <c r="AK57" s="234"/>
      <c r="AL57" s="148"/>
      <c r="AM57" s="254"/>
      <c r="AP57" s="254"/>
      <c r="AQ57" s="248"/>
      <c r="AR57" s="260"/>
      <c r="AS57" s="148"/>
      <c r="AT57" s="234"/>
      <c r="AU57" s="238"/>
      <c r="AX57" s="236"/>
      <c r="AY57" s="266"/>
      <c r="AZ57" s="260"/>
      <c r="BA57" s="148"/>
      <c r="BB57" s="234"/>
      <c r="BC57" s="119"/>
      <c r="BF57" s="254"/>
      <c r="BG57" s="248"/>
      <c r="BH57" s="260"/>
      <c r="BI57" s="148"/>
      <c r="BJ57" s="234"/>
      <c r="BK57" s="238"/>
      <c r="BN57" s="236"/>
      <c r="BO57" s="260"/>
      <c r="BP57" s="260"/>
      <c r="BQ57" s="148"/>
      <c r="BR57" s="234"/>
      <c r="BS57" s="119"/>
      <c r="BV57" s="254"/>
      <c r="BW57" s="248"/>
      <c r="BX57" s="260"/>
      <c r="BY57" s="148"/>
      <c r="BZ57" s="234"/>
      <c r="CA57" s="238"/>
      <c r="CD57" s="236"/>
      <c r="CE57" s="233"/>
      <c r="CF57" s="1"/>
    </row>
    <row r="58" spans="1:84" x14ac:dyDescent="0.25">
      <c r="A58" s="138">
        <v>55</v>
      </c>
      <c r="B58" s="56" t="s">
        <v>149</v>
      </c>
      <c r="C58" s="120"/>
      <c r="D58" s="275"/>
      <c r="E58" s="275"/>
      <c r="F58" s="275"/>
      <c r="G58" s="275"/>
      <c r="H58" s="218"/>
      <c r="I58" s="218"/>
      <c r="J58" s="218"/>
      <c r="K58" s="218"/>
      <c r="L58" s="218"/>
      <c r="M58" s="128">
        <v>1</v>
      </c>
      <c r="N58" s="56"/>
      <c r="O58" s="211"/>
      <c r="P58" s="119"/>
      <c r="Q58" s="154"/>
      <c r="R58" s="154"/>
      <c r="S58" s="226"/>
      <c r="T58" s="226"/>
      <c r="U58" s="226"/>
      <c r="V58" s="154"/>
      <c r="W58" s="1"/>
      <c r="X58" s="1"/>
      <c r="Y58" s="1"/>
      <c r="Z58" s="1"/>
      <c r="AA58" s="234"/>
      <c r="AB58" s="148"/>
      <c r="AC58" s="234"/>
      <c r="AD58" s="148"/>
      <c r="AE58" s="236"/>
      <c r="AH58" s="236"/>
      <c r="AI58" s="248"/>
      <c r="AJ58" s="148"/>
      <c r="AK58" s="234"/>
      <c r="AL58" s="148"/>
      <c r="AM58" s="254"/>
      <c r="AP58" s="254"/>
      <c r="AQ58" s="248"/>
      <c r="AR58" s="260"/>
      <c r="AS58" s="148"/>
      <c r="AT58" s="234"/>
      <c r="AU58" s="238"/>
      <c r="AX58" s="236"/>
      <c r="AY58" s="266"/>
      <c r="AZ58" s="260"/>
      <c r="BA58" s="148"/>
      <c r="BB58" s="234"/>
      <c r="BC58" s="119"/>
      <c r="BF58" s="254"/>
      <c r="BG58" s="248"/>
      <c r="BH58" s="260"/>
      <c r="BI58" s="148"/>
      <c r="BJ58" s="234"/>
      <c r="BK58" s="238"/>
      <c r="BN58" s="236"/>
      <c r="BO58" s="260"/>
      <c r="BP58" s="260"/>
      <c r="BQ58" s="148"/>
      <c r="BR58" s="234"/>
      <c r="BS58" s="119"/>
      <c r="BV58" s="254"/>
      <c r="BW58" s="248"/>
      <c r="BX58" s="260"/>
      <c r="BY58" s="148"/>
      <c r="BZ58" s="234"/>
      <c r="CA58" s="238"/>
      <c r="CD58" s="236"/>
      <c r="CE58" s="233"/>
      <c r="CF58" s="1"/>
    </row>
    <row r="59" spans="1:84" x14ac:dyDescent="0.25">
      <c r="A59" s="118" t="s">
        <v>67</v>
      </c>
      <c r="B59" s="56" t="s">
        <v>157</v>
      </c>
      <c r="C59" s="120"/>
      <c r="D59" s="275"/>
      <c r="E59" s="275"/>
      <c r="F59" s="275"/>
      <c r="G59" s="275"/>
      <c r="H59" s="218"/>
      <c r="I59" s="218"/>
      <c r="J59" s="218"/>
      <c r="K59" s="218"/>
      <c r="L59" s="218"/>
      <c r="M59" s="128">
        <v>1</v>
      </c>
      <c r="N59" s="56"/>
      <c r="O59" s="211"/>
      <c r="P59" s="119"/>
      <c r="Q59" s="154"/>
      <c r="R59" s="154"/>
      <c r="S59" s="226"/>
      <c r="T59" s="226"/>
      <c r="U59" s="226"/>
      <c r="V59" s="154"/>
      <c r="W59" s="1"/>
      <c r="X59" s="1"/>
      <c r="Y59" s="1"/>
      <c r="Z59" s="1"/>
      <c r="AA59" s="234"/>
      <c r="AB59" s="148"/>
      <c r="AC59" s="234"/>
      <c r="AD59" s="148"/>
      <c r="AE59" s="236"/>
      <c r="AH59" s="236"/>
      <c r="AI59" s="248"/>
      <c r="AJ59" s="148"/>
      <c r="AK59" s="234"/>
      <c r="AL59" s="148"/>
      <c r="AM59" s="254"/>
      <c r="AP59" s="254"/>
      <c r="AQ59" s="248"/>
      <c r="AR59" s="260"/>
      <c r="AS59" s="148"/>
      <c r="AT59" s="234"/>
      <c r="AU59" s="238"/>
      <c r="AX59" s="236"/>
      <c r="AY59" s="266"/>
      <c r="AZ59" s="260"/>
      <c r="BA59" s="148"/>
      <c r="BB59" s="234"/>
      <c r="BC59" s="119"/>
      <c r="BF59" s="254"/>
      <c r="BG59" s="248"/>
      <c r="BH59" s="260"/>
      <c r="BI59" s="148"/>
      <c r="BJ59" s="234"/>
      <c r="BK59" s="238"/>
      <c r="BN59" s="236"/>
      <c r="BO59" s="260"/>
      <c r="BP59" s="260"/>
      <c r="BQ59" s="148"/>
      <c r="BR59" s="234"/>
      <c r="BS59" s="119"/>
      <c r="BV59" s="254"/>
      <c r="BW59" s="248"/>
      <c r="BX59" s="260"/>
      <c r="BY59" s="148"/>
      <c r="BZ59" s="234"/>
      <c r="CA59" s="238"/>
      <c r="CD59" s="236"/>
      <c r="CE59" s="233"/>
      <c r="CF59" s="1"/>
    </row>
    <row r="60" spans="1:84" x14ac:dyDescent="0.25">
      <c r="A60" s="118" t="s">
        <v>68</v>
      </c>
      <c r="B60" s="56" t="s">
        <v>149</v>
      </c>
      <c r="C60" s="120"/>
      <c r="D60" s="275"/>
      <c r="E60" s="275"/>
      <c r="F60" s="275"/>
      <c r="G60" s="275"/>
      <c r="H60" s="218"/>
      <c r="I60" s="218"/>
      <c r="J60" s="218"/>
      <c r="K60" s="218"/>
      <c r="L60" s="218"/>
      <c r="M60" s="128">
        <v>1</v>
      </c>
      <c r="N60" s="56"/>
      <c r="O60" s="211"/>
      <c r="P60" s="119"/>
      <c r="Q60" s="154"/>
      <c r="R60" s="154"/>
      <c r="S60" s="226"/>
      <c r="T60" s="226"/>
      <c r="U60" s="226"/>
      <c r="V60" s="154"/>
      <c r="W60" s="1"/>
      <c r="X60" s="1"/>
      <c r="Y60" s="1"/>
      <c r="Z60" s="1"/>
      <c r="AA60" s="234"/>
      <c r="AB60" s="148"/>
      <c r="AC60" s="234"/>
      <c r="AD60" s="148"/>
      <c r="AE60" s="236"/>
      <c r="AH60" s="236"/>
      <c r="AI60" s="248"/>
      <c r="AJ60" s="148"/>
      <c r="AK60" s="234"/>
      <c r="AL60" s="148"/>
      <c r="AM60" s="254"/>
      <c r="AP60" s="254"/>
      <c r="AQ60" s="248"/>
      <c r="AR60" s="260"/>
      <c r="AS60" s="148"/>
      <c r="AT60" s="234"/>
      <c r="AU60" s="238"/>
      <c r="AX60" s="236"/>
      <c r="AY60" s="266"/>
      <c r="AZ60" s="260"/>
      <c r="BA60" s="148"/>
      <c r="BB60" s="234"/>
      <c r="BC60" s="119"/>
      <c r="BF60" s="254"/>
      <c r="BG60" s="248"/>
      <c r="BH60" s="260"/>
      <c r="BI60" s="148"/>
      <c r="BJ60" s="234"/>
      <c r="BK60" s="238"/>
      <c r="BN60" s="236"/>
      <c r="BO60" s="260"/>
      <c r="BP60" s="260"/>
      <c r="BQ60" s="148"/>
      <c r="BR60" s="234"/>
      <c r="BS60" s="119"/>
      <c r="BV60" s="254"/>
      <c r="BW60" s="248"/>
      <c r="BX60" s="260"/>
      <c r="BY60" s="148"/>
      <c r="BZ60" s="234"/>
      <c r="CA60" s="238"/>
      <c r="CD60" s="236"/>
      <c r="CE60" s="233"/>
      <c r="CF60" s="1"/>
    </row>
    <row r="61" spans="1:84" x14ac:dyDescent="0.25">
      <c r="A61" s="118" t="s">
        <v>69</v>
      </c>
      <c r="B61" s="56" t="s">
        <v>149</v>
      </c>
      <c r="C61" s="120"/>
      <c r="D61" s="275"/>
      <c r="E61" s="275"/>
      <c r="F61" s="275"/>
      <c r="G61" s="275"/>
      <c r="H61" s="218"/>
      <c r="I61" s="218"/>
      <c r="J61" s="218"/>
      <c r="K61" s="218"/>
      <c r="L61" s="218"/>
      <c r="M61" s="128">
        <v>1</v>
      </c>
      <c r="N61" s="56"/>
      <c r="O61" s="211"/>
      <c r="P61" s="119"/>
      <c r="Q61" s="154"/>
      <c r="R61" s="154"/>
      <c r="S61" s="226"/>
      <c r="T61" s="226"/>
      <c r="U61" s="226"/>
      <c r="V61" s="154"/>
      <c r="W61" s="1"/>
      <c r="X61" s="1"/>
      <c r="Y61" s="1"/>
      <c r="Z61" s="1"/>
      <c r="AA61" s="234"/>
      <c r="AB61" s="148"/>
      <c r="AC61" s="234"/>
      <c r="AD61" s="148"/>
      <c r="AE61" s="236"/>
      <c r="AH61" s="236"/>
      <c r="AI61" s="248"/>
      <c r="AJ61" s="148"/>
      <c r="AK61" s="234"/>
      <c r="AL61" s="148"/>
      <c r="AM61" s="254"/>
      <c r="AP61" s="254"/>
      <c r="AQ61" s="248"/>
      <c r="AR61" s="260"/>
      <c r="AS61" s="148"/>
      <c r="AT61" s="234"/>
      <c r="AU61" s="238"/>
      <c r="AX61" s="236"/>
      <c r="AY61" s="266"/>
      <c r="AZ61" s="260"/>
      <c r="BA61" s="148"/>
      <c r="BB61" s="234"/>
      <c r="BC61" s="119"/>
      <c r="BF61" s="254"/>
      <c r="BG61" s="248"/>
      <c r="BH61" s="260"/>
      <c r="BI61" s="148"/>
      <c r="BJ61" s="234"/>
      <c r="BK61" s="238"/>
      <c r="BN61" s="236"/>
      <c r="BO61" s="260"/>
      <c r="BP61" s="260"/>
      <c r="BQ61" s="148"/>
      <c r="BR61" s="234"/>
      <c r="BS61" s="119"/>
      <c r="BV61" s="254"/>
      <c r="BW61" s="248"/>
      <c r="BX61" s="260"/>
      <c r="BY61" s="148"/>
      <c r="BZ61" s="234"/>
      <c r="CA61" s="238"/>
      <c r="CD61" s="236"/>
      <c r="CE61" s="233"/>
      <c r="CF61" s="1"/>
    </row>
    <row r="62" spans="1:84" x14ac:dyDescent="0.25">
      <c r="A62" s="118" t="s">
        <v>70</v>
      </c>
      <c r="B62" s="56" t="s">
        <v>150</v>
      </c>
      <c r="C62" s="120"/>
      <c r="D62" s="275"/>
      <c r="E62" s="275"/>
      <c r="F62" s="275"/>
      <c r="G62" s="275"/>
      <c r="H62" s="218"/>
      <c r="I62" s="218"/>
      <c r="J62" s="218"/>
      <c r="K62" s="218"/>
      <c r="L62" s="218"/>
      <c r="M62" s="128">
        <v>1</v>
      </c>
      <c r="N62" s="56"/>
      <c r="O62" s="211"/>
      <c r="P62" s="119"/>
      <c r="Q62" s="154"/>
      <c r="R62" s="154"/>
      <c r="S62" s="226"/>
      <c r="T62" s="226"/>
      <c r="U62" s="226"/>
      <c r="V62" s="154"/>
      <c r="W62" s="1"/>
      <c r="X62" s="1"/>
      <c r="Y62" s="1"/>
      <c r="Z62" s="1"/>
      <c r="AA62" s="234"/>
      <c r="AB62" s="148"/>
      <c r="AC62" s="234"/>
      <c r="AD62" s="148"/>
      <c r="AE62" s="236"/>
      <c r="AH62" s="236"/>
      <c r="AI62" s="248"/>
      <c r="AJ62" s="148"/>
      <c r="AK62" s="234"/>
      <c r="AL62" s="148"/>
      <c r="AM62" s="254"/>
      <c r="AP62" s="254"/>
      <c r="AQ62" s="248"/>
      <c r="AR62" s="260"/>
      <c r="AS62" s="148"/>
      <c r="AT62" s="234"/>
      <c r="AU62" s="238"/>
      <c r="AX62" s="236"/>
      <c r="AY62" s="266"/>
      <c r="AZ62" s="260"/>
      <c r="BA62" s="148"/>
      <c r="BB62" s="234"/>
      <c r="BC62" s="119"/>
      <c r="BF62" s="254"/>
      <c r="BG62" s="248"/>
      <c r="BH62" s="260"/>
      <c r="BI62" s="148"/>
      <c r="BJ62" s="234"/>
      <c r="BK62" s="238"/>
      <c r="BN62" s="236"/>
      <c r="BO62" s="260"/>
      <c r="BP62" s="260"/>
      <c r="BQ62" s="148"/>
      <c r="BR62" s="234"/>
      <c r="BS62" s="119"/>
      <c r="BV62" s="254"/>
      <c r="BW62" s="248"/>
      <c r="BX62" s="260"/>
      <c r="BY62" s="148"/>
      <c r="BZ62" s="234"/>
      <c r="CA62" s="238"/>
      <c r="CD62" s="236"/>
      <c r="CE62" s="233"/>
      <c r="CF62" s="1"/>
    </row>
    <row r="63" spans="1:84" x14ac:dyDescent="0.25">
      <c r="A63" s="118" t="s">
        <v>71</v>
      </c>
      <c r="B63" s="56" t="s">
        <v>157</v>
      </c>
      <c r="C63" s="120"/>
      <c r="D63" s="275"/>
      <c r="E63" s="275"/>
      <c r="F63" s="275"/>
      <c r="G63" s="275"/>
      <c r="H63" s="218"/>
      <c r="I63" s="218"/>
      <c r="J63" s="218"/>
      <c r="K63" s="218"/>
      <c r="L63" s="218"/>
      <c r="M63" s="128">
        <v>1</v>
      </c>
      <c r="N63" s="56"/>
      <c r="O63" s="211"/>
      <c r="P63" s="119"/>
      <c r="Q63" s="154"/>
      <c r="R63" s="154"/>
      <c r="S63" s="226"/>
      <c r="T63" s="226"/>
      <c r="U63" s="226"/>
      <c r="V63" s="154"/>
      <c r="W63" s="1"/>
      <c r="X63" s="1"/>
      <c r="Y63" s="1"/>
      <c r="Z63" s="1"/>
      <c r="AA63" s="234"/>
      <c r="AB63" s="148"/>
      <c r="AC63" s="234"/>
      <c r="AD63" s="148"/>
      <c r="AE63" s="236"/>
      <c r="AH63" s="236"/>
      <c r="AI63" s="248"/>
      <c r="AJ63" s="148"/>
      <c r="AK63" s="234"/>
      <c r="AL63" s="148"/>
      <c r="AM63" s="254"/>
      <c r="AP63" s="254"/>
      <c r="AQ63" s="248"/>
      <c r="AR63" s="260"/>
      <c r="AS63" s="148"/>
      <c r="AT63" s="234"/>
      <c r="AU63" s="238"/>
      <c r="AX63" s="236"/>
      <c r="AY63" s="266"/>
      <c r="AZ63" s="260"/>
      <c r="BA63" s="148"/>
      <c r="BB63" s="234"/>
      <c r="BC63" s="119"/>
      <c r="BF63" s="254"/>
      <c r="BG63" s="248"/>
      <c r="BH63" s="260"/>
      <c r="BI63" s="148"/>
      <c r="BJ63" s="234"/>
      <c r="BK63" s="238"/>
      <c r="BN63" s="236"/>
      <c r="BO63" s="260"/>
      <c r="BP63" s="260"/>
      <c r="BQ63" s="148"/>
      <c r="BR63" s="234"/>
      <c r="BS63" s="119"/>
      <c r="BV63" s="254"/>
      <c r="BW63" s="248"/>
      <c r="BX63" s="260"/>
      <c r="BY63" s="148"/>
      <c r="BZ63" s="234"/>
      <c r="CA63" s="238"/>
      <c r="CD63" s="236"/>
      <c r="CE63" s="233"/>
      <c r="CF63" s="1"/>
    </row>
    <row r="64" spans="1:84" x14ac:dyDescent="0.25">
      <c r="A64" s="118" t="s">
        <v>72</v>
      </c>
      <c r="B64" s="56" t="s">
        <v>149</v>
      </c>
      <c r="C64" s="120"/>
      <c r="D64" s="275"/>
      <c r="E64" s="275"/>
      <c r="F64" s="275"/>
      <c r="G64" s="275"/>
      <c r="H64" s="218"/>
      <c r="I64" s="218"/>
      <c r="J64" s="218"/>
      <c r="K64" s="218"/>
      <c r="L64" s="218"/>
      <c r="M64" s="128">
        <v>1</v>
      </c>
      <c r="N64" s="56"/>
      <c r="O64" s="211"/>
      <c r="P64" s="119"/>
      <c r="Q64" s="154"/>
      <c r="R64" s="154"/>
      <c r="S64" s="226"/>
      <c r="T64" s="226"/>
      <c r="U64" s="226"/>
      <c r="V64" s="154"/>
      <c r="W64" s="1"/>
      <c r="X64" s="1"/>
      <c r="Y64" s="1"/>
      <c r="Z64" s="1"/>
      <c r="AA64" s="234"/>
      <c r="AB64" s="148"/>
      <c r="AC64" s="234"/>
      <c r="AD64" s="148"/>
      <c r="AE64" s="236"/>
      <c r="AH64" s="236"/>
      <c r="AI64" s="248"/>
      <c r="AJ64" s="148"/>
      <c r="AK64" s="234"/>
      <c r="AL64" s="148"/>
      <c r="AM64" s="254"/>
      <c r="AP64" s="254"/>
      <c r="AQ64" s="248"/>
      <c r="AR64" s="260"/>
      <c r="AS64" s="148"/>
      <c r="AT64" s="234"/>
      <c r="AU64" s="238"/>
      <c r="AX64" s="236"/>
      <c r="AY64" s="266"/>
      <c r="AZ64" s="260"/>
      <c r="BA64" s="148"/>
      <c r="BB64" s="234"/>
      <c r="BC64" s="119"/>
      <c r="BF64" s="254"/>
      <c r="BG64" s="248"/>
      <c r="BH64" s="260"/>
      <c r="BI64" s="148"/>
      <c r="BJ64" s="234"/>
      <c r="BK64" s="238"/>
      <c r="BN64" s="236"/>
      <c r="BO64" s="260"/>
      <c r="BP64" s="260"/>
      <c r="BQ64" s="148"/>
      <c r="BR64" s="234"/>
      <c r="BS64" s="119"/>
      <c r="BV64" s="254"/>
      <c r="BW64" s="248"/>
      <c r="BX64" s="260"/>
      <c r="BY64" s="148"/>
      <c r="BZ64" s="234"/>
      <c r="CA64" s="238"/>
      <c r="CD64" s="236"/>
      <c r="CE64" s="233"/>
      <c r="CF64" s="1"/>
    </row>
    <row r="65" spans="1:84" x14ac:dyDescent="0.25">
      <c r="A65" s="118" t="s">
        <v>73</v>
      </c>
      <c r="B65" s="56" t="s">
        <v>149</v>
      </c>
      <c r="C65" s="120"/>
      <c r="D65" s="275"/>
      <c r="E65" s="275"/>
      <c r="F65" s="275"/>
      <c r="G65" s="275"/>
      <c r="H65" s="218"/>
      <c r="I65" s="218"/>
      <c r="J65" s="218"/>
      <c r="K65" s="218"/>
      <c r="L65" s="218"/>
      <c r="M65" s="128">
        <v>1</v>
      </c>
      <c r="N65" s="56"/>
      <c r="O65" s="211"/>
      <c r="P65" s="119"/>
      <c r="Q65" s="154"/>
      <c r="R65" s="154"/>
      <c r="S65" s="226"/>
      <c r="T65" s="226"/>
      <c r="U65" s="226"/>
      <c r="V65" s="154"/>
      <c r="W65" s="1"/>
      <c r="X65" s="1"/>
      <c r="Y65" s="1"/>
      <c r="Z65" s="1"/>
      <c r="AA65" s="234"/>
      <c r="AB65" s="148"/>
      <c r="AC65" s="234"/>
      <c r="AD65" s="148"/>
      <c r="AE65" s="236"/>
      <c r="AH65" s="236"/>
      <c r="AI65" s="248"/>
      <c r="AJ65" s="148"/>
      <c r="AK65" s="234"/>
      <c r="AL65" s="148"/>
      <c r="AM65" s="254"/>
      <c r="AP65" s="254"/>
      <c r="AQ65" s="248"/>
      <c r="AR65" s="260"/>
      <c r="AS65" s="148"/>
      <c r="AT65" s="234"/>
      <c r="AU65" s="238"/>
      <c r="AX65" s="236"/>
      <c r="AY65" s="266"/>
      <c r="AZ65" s="260"/>
      <c r="BA65" s="148"/>
      <c r="BB65" s="234"/>
      <c r="BC65" s="119"/>
      <c r="BF65" s="254"/>
      <c r="BG65" s="248"/>
      <c r="BH65" s="260"/>
      <c r="BI65" s="148"/>
      <c r="BJ65" s="234"/>
      <c r="BK65" s="238"/>
      <c r="BN65" s="236"/>
      <c r="BO65" s="260"/>
      <c r="BP65" s="260"/>
      <c r="BQ65" s="148"/>
      <c r="BR65" s="234"/>
      <c r="BS65" s="119"/>
      <c r="BV65" s="254"/>
      <c r="BW65" s="248"/>
      <c r="BX65" s="260"/>
      <c r="BY65" s="148"/>
      <c r="BZ65" s="234"/>
      <c r="CA65" s="238"/>
      <c r="CD65" s="236"/>
      <c r="CE65" s="233"/>
      <c r="CF65" s="1"/>
    </row>
    <row r="66" spans="1:84" x14ac:dyDescent="0.25">
      <c r="A66" s="118" t="s">
        <v>74</v>
      </c>
      <c r="B66" s="56" t="s">
        <v>149</v>
      </c>
      <c r="C66" s="120"/>
      <c r="D66" s="275"/>
      <c r="E66" s="275"/>
      <c r="F66" s="275"/>
      <c r="G66" s="275"/>
      <c r="H66" s="218"/>
      <c r="I66" s="218"/>
      <c r="J66" s="218"/>
      <c r="K66" s="218"/>
      <c r="L66" s="218"/>
      <c r="M66" s="128">
        <v>1</v>
      </c>
      <c r="N66" s="56"/>
      <c r="O66" s="211"/>
      <c r="P66" s="119"/>
      <c r="Q66" s="154"/>
      <c r="R66" s="154"/>
      <c r="S66" s="226"/>
      <c r="T66" s="226"/>
      <c r="U66" s="226"/>
      <c r="V66" s="154"/>
      <c r="W66" s="1"/>
      <c r="X66" s="1"/>
      <c r="Y66" s="1"/>
      <c r="Z66" s="1"/>
      <c r="AA66" s="234"/>
      <c r="AB66" s="148"/>
      <c r="AC66" s="234"/>
      <c r="AD66" s="148"/>
      <c r="AE66" s="236"/>
      <c r="AH66" s="236"/>
      <c r="AI66" s="248"/>
      <c r="AJ66" s="148"/>
      <c r="AK66" s="234"/>
      <c r="AL66" s="148"/>
      <c r="AM66" s="254"/>
      <c r="AP66" s="254"/>
      <c r="AQ66" s="248"/>
      <c r="AR66" s="260"/>
      <c r="AS66" s="148"/>
      <c r="AT66" s="234"/>
      <c r="AU66" s="238"/>
      <c r="AX66" s="236"/>
      <c r="AY66" s="266"/>
      <c r="AZ66" s="260"/>
      <c r="BA66" s="148"/>
      <c r="BB66" s="234"/>
      <c r="BC66" s="119"/>
      <c r="BF66" s="254"/>
      <c r="BG66" s="248"/>
      <c r="BH66" s="260"/>
      <c r="BI66" s="148"/>
      <c r="BJ66" s="234"/>
      <c r="BK66" s="238"/>
      <c r="BN66" s="236"/>
      <c r="BO66" s="260"/>
      <c r="BP66" s="260"/>
      <c r="BQ66" s="148"/>
      <c r="BR66" s="234"/>
      <c r="BS66" s="119"/>
      <c r="BV66" s="254"/>
      <c r="BW66" s="248"/>
      <c r="BX66" s="260"/>
      <c r="BY66" s="148"/>
      <c r="BZ66" s="234"/>
      <c r="CA66" s="238"/>
      <c r="CD66" s="236"/>
      <c r="CE66" s="233"/>
      <c r="CF66" s="1"/>
    </row>
    <row r="67" spans="1:84" x14ac:dyDescent="0.25">
      <c r="A67" s="118" t="s">
        <v>75</v>
      </c>
      <c r="B67" s="56" t="s">
        <v>135</v>
      </c>
      <c r="C67" s="120"/>
      <c r="D67" s="275"/>
      <c r="E67" s="275"/>
      <c r="F67" s="275"/>
      <c r="G67" s="275"/>
      <c r="H67" s="218"/>
      <c r="I67" s="218"/>
      <c r="J67" s="218"/>
      <c r="K67" s="218"/>
      <c r="L67" s="218"/>
      <c r="M67" s="128">
        <v>1</v>
      </c>
      <c r="N67" s="56"/>
      <c r="O67" s="211"/>
      <c r="P67" s="119"/>
      <c r="Q67" s="154"/>
      <c r="R67" s="154"/>
      <c r="S67" s="226"/>
      <c r="T67" s="226"/>
      <c r="U67" s="226"/>
      <c r="V67" s="154"/>
      <c r="W67" s="1"/>
      <c r="X67" s="1"/>
      <c r="Y67" s="1"/>
      <c r="Z67" s="1"/>
      <c r="AA67" s="234"/>
      <c r="AB67" s="148"/>
      <c r="AC67" s="234"/>
      <c r="AD67" s="148"/>
      <c r="AE67" s="236"/>
      <c r="AH67" s="236"/>
      <c r="AI67" s="248"/>
      <c r="AJ67" s="148"/>
      <c r="AK67" s="234"/>
      <c r="AL67" s="148"/>
      <c r="AM67" s="254"/>
      <c r="AP67" s="254"/>
      <c r="AQ67" s="248"/>
      <c r="AR67" s="260"/>
      <c r="AS67" s="148"/>
      <c r="AT67" s="234"/>
      <c r="AU67" s="238"/>
      <c r="AX67" s="236"/>
      <c r="AY67" s="266"/>
      <c r="AZ67" s="260"/>
      <c r="BA67" s="148"/>
      <c r="BB67" s="234"/>
      <c r="BC67" s="119"/>
      <c r="BF67" s="254"/>
      <c r="BG67" s="248"/>
      <c r="BH67" s="260"/>
      <c r="BI67" s="148"/>
      <c r="BJ67" s="234"/>
      <c r="BK67" s="238"/>
      <c r="BN67" s="236"/>
      <c r="BO67" s="260"/>
      <c r="BP67" s="260"/>
      <c r="BQ67" s="148"/>
      <c r="BR67" s="234"/>
      <c r="BS67" s="119"/>
      <c r="BV67" s="254"/>
      <c r="BW67" s="248"/>
      <c r="BX67" s="260"/>
      <c r="BY67" s="148"/>
      <c r="BZ67" s="234"/>
      <c r="CA67" s="238"/>
      <c r="CD67" s="236"/>
      <c r="CE67" s="233"/>
      <c r="CF67" s="1"/>
    </row>
    <row r="68" spans="1:84" ht="15.75" thickBot="1" x14ac:dyDescent="0.3">
      <c r="A68" s="118" t="s">
        <v>76</v>
      </c>
      <c r="B68" s="56" t="s">
        <v>135</v>
      </c>
      <c r="C68" s="120"/>
      <c r="D68" s="275"/>
      <c r="E68" s="275"/>
      <c r="F68" s="275"/>
      <c r="G68" s="275"/>
      <c r="H68" s="218"/>
      <c r="I68" s="218"/>
      <c r="J68" s="218"/>
      <c r="K68" s="218"/>
      <c r="L68" s="218"/>
      <c r="M68" s="128">
        <v>1</v>
      </c>
      <c r="N68" s="56"/>
      <c r="O68" s="211"/>
      <c r="P68" s="119"/>
      <c r="Q68" s="154"/>
      <c r="R68" s="154"/>
      <c r="S68" s="226"/>
      <c r="T68" s="226"/>
      <c r="U68" s="226"/>
      <c r="V68" s="154"/>
      <c r="W68" s="1"/>
      <c r="X68" s="1"/>
      <c r="Y68" s="1"/>
      <c r="Z68" s="1"/>
      <c r="AA68" s="235"/>
      <c r="AB68" s="148"/>
      <c r="AC68" s="235"/>
      <c r="AD68" s="148"/>
      <c r="AE68" s="237"/>
      <c r="AH68" s="237"/>
      <c r="AI68" s="249"/>
      <c r="AJ68" s="148"/>
      <c r="AK68" s="235"/>
      <c r="AL68" s="148"/>
      <c r="AM68" s="255"/>
      <c r="AP68" s="255"/>
      <c r="AQ68" s="249"/>
      <c r="AR68" s="260"/>
      <c r="AS68" s="148"/>
      <c r="AT68" s="235"/>
      <c r="AU68" s="239"/>
      <c r="AX68" s="237"/>
      <c r="AY68" s="266"/>
      <c r="AZ68" s="260"/>
      <c r="BA68" s="148"/>
      <c r="BB68" s="235"/>
      <c r="BC68" s="267"/>
      <c r="BF68" s="255"/>
      <c r="BG68" s="249"/>
      <c r="BH68" s="260"/>
      <c r="BI68" s="148"/>
      <c r="BJ68" s="235"/>
      <c r="BK68" s="239"/>
      <c r="BN68" s="237"/>
      <c r="BO68" s="260"/>
      <c r="BP68" s="260"/>
      <c r="BQ68" s="148"/>
      <c r="BR68" s="235"/>
      <c r="BS68" s="267"/>
      <c r="BV68" s="255"/>
      <c r="BW68" s="249"/>
      <c r="BX68" s="260"/>
      <c r="BY68" s="148"/>
      <c r="BZ68" s="235"/>
      <c r="CA68" s="239"/>
      <c r="CD68" s="268"/>
      <c r="CE68" s="233"/>
      <c r="CF68" s="1"/>
    </row>
    <row r="69" spans="1:84" x14ac:dyDescent="0.25">
      <c r="A69" s="22"/>
      <c r="B69" s="53"/>
      <c r="C69" s="213"/>
      <c r="D69" s="213"/>
      <c r="E69" s="213"/>
      <c r="F69" s="213"/>
      <c r="G69" s="213"/>
      <c r="H69" s="213"/>
      <c r="I69" s="213"/>
      <c r="J69" s="213"/>
      <c r="K69" s="213"/>
      <c r="L69" s="213"/>
      <c r="M69" s="102">
        <v>64</v>
      </c>
    </row>
    <row r="70" spans="1:84" ht="15.75" thickBot="1" x14ac:dyDescent="0.3">
      <c r="A70" s="87" t="s">
        <v>132</v>
      </c>
      <c r="B70" s="73"/>
      <c r="C70" s="214"/>
      <c r="D70" s="214"/>
      <c r="E70" s="214"/>
      <c r="F70" s="214"/>
      <c r="G70" s="214"/>
      <c r="H70" s="214"/>
      <c r="I70" s="214"/>
      <c r="J70" s="214"/>
      <c r="K70" s="214"/>
      <c r="L70" s="214"/>
      <c r="M70" s="102"/>
    </row>
    <row r="71" spans="1:84" x14ac:dyDescent="0.25">
      <c r="M71" s="128">
        <v>63</v>
      </c>
      <c r="N71" s="56"/>
    </row>
  </sheetData>
  <autoFilter ref="A1:M68" xr:uid="{D9766D9E-7501-4B51-AA6A-13036792A92A}">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autoFilter>
  <mergeCells count="20">
    <mergeCell ref="D2:G2"/>
    <mergeCell ref="BO2:BR2"/>
    <mergeCell ref="BS2:BV2"/>
    <mergeCell ref="BW2:BZ2"/>
    <mergeCell ref="CA2:CD2"/>
    <mergeCell ref="W2:Z2"/>
    <mergeCell ref="W1:CF1"/>
    <mergeCell ref="A1:P1"/>
    <mergeCell ref="Q1:V1"/>
    <mergeCell ref="AA2:AD2"/>
    <mergeCell ref="AE2:AH2"/>
    <mergeCell ref="AI2:AL2"/>
    <mergeCell ref="AM2:AP2"/>
    <mergeCell ref="AQ2:AT2"/>
    <mergeCell ref="AU2:AX2"/>
    <mergeCell ref="AY2:BB2"/>
    <mergeCell ref="BC2:BF2"/>
    <mergeCell ref="BG2:BJ2"/>
    <mergeCell ref="BK2:BN2"/>
    <mergeCell ref="H2:L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DABB4-54A2-48B7-9CE4-1DD107874637}">
  <dimension ref="A1:W75"/>
  <sheetViews>
    <sheetView workbookViewId="0">
      <pane ySplit="1" topLeftCell="A2" activePane="bottomLeft" state="frozen"/>
      <selection activeCell="J5" sqref="J5:J8"/>
      <selection pane="bottomLeft" activeCell="J5" sqref="J5:J8"/>
    </sheetView>
  </sheetViews>
  <sheetFormatPr baseColWidth="10" defaultRowHeight="15" x14ac:dyDescent="0.25"/>
  <cols>
    <col min="2" max="2" width="10" bestFit="1" customWidth="1"/>
    <col min="3" max="3" width="24.7109375" bestFit="1" customWidth="1"/>
    <col min="4" max="4" width="7.140625" bestFit="1" customWidth="1"/>
    <col min="5" max="5" width="11.5703125" style="31"/>
    <col min="7" max="8" width="11.5703125" style="31"/>
    <col min="9" max="9" width="11.5703125" style="64"/>
    <col min="14" max="14" width="12" customWidth="1"/>
    <col min="15" max="15" width="11.5703125" style="64"/>
    <col min="16" max="17" width="17.7109375" style="31" customWidth="1"/>
    <col min="18" max="18" width="11.7109375" style="31" customWidth="1"/>
    <col min="19" max="19" width="11.5703125" style="31"/>
  </cols>
  <sheetData>
    <row r="1" spans="1:20" ht="45" x14ac:dyDescent="0.25">
      <c r="A1" s="49" t="s">
        <v>110</v>
      </c>
      <c r="B1" s="49" t="s">
        <v>111</v>
      </c>
      <c r="C1" s="49" t="s">
        <v>112</v>
      </c>
      <c r="D1" s="49" t="s">
        <v>113</v>
      </c>
      <c r="E1" s="50" t="s">
        <v>138</v>
      </c>
      <c r="F1" s="50" t="s">
        <v>139</v>
      </c>
      <c r="G1" s="51" t="s">
        <v>152</v>
      </c>
      <c r="H1" s="51" t="s">
        <v>140</v>
      </c>
      <c r="I1" s="122" t="s">
        <v>141</v>
      </c>
      <c r="J1" s="100" t="s">
        <v>142</v>
      </c>
      <c r="K1" s="100" t="s">
        <v>199</v>
      </c>
      <c r="L1" s="100" t="s">
        <v>187</v>
      </c>
      <c r="M1" s="66" t="s">
        <v>114</v>
      </c>
      <c r="N1" s="101" t="s">
        <v>136</v>
      </c>
      <c r="O1" s="116" t="s">
        <v>144</v>
      </c>
      <c r="P1" s="117" t="s">
        <v>145</v>
      </c>
      <c r="Q1" s="109" t="s">
        <v>146</v>
      </c>
      <c r="R1" s="109" t="s">
        <v>153</v>
      </c>
      <c r="S1" s="109" t="s">
        <v>154</v>
      </c>
      <c r="T1" s="109" t="s">
        <v>186</v>
      </c>
    </row>
    <row r="2" spans="1:20" x14ac:dyDescent="0.25">
      <c r="A2" s="49"/>
      <c r="B2" s="49"/>
      <c r="C2" s="49"/>
      <c r="D2" s="49"/>
      <c r="E2" s="50"/>
      <c r="F2" s="287">
        <v>0.1</v>
      </c>
      <c r="G2" s="287">
        <v>0.3</v>
      </c>
      <c r="H2" s="287">
        <v>0.3</v>
      </c>
      <c r="I2" s="288">
        <v>0.1</v>
      </c>
      <c r="J2" s="289">
        <v>0.1</v>
      </c>
      <c r="K2" s="289">
        <v>0.1</v>
      </c>
      <c r="L2" s="100"/>
      <c r="M2" s="66"/>
      <c r="N2" s="285"/>
      <c r="O2" s="286"/>
      <c r="P2" s="291">
        <v>0.1</v>
      </c>
      <c r="Q2" s="291">
        <v>0.2</v>
      </c>
      <c r="R2" s="291">
        <v>0.4</v>
      </c>
      <c r="S2" s="291">
        <v>0.2</v>
      </c>
      <c r="T2" s="291">
        <v>0.1</v>
      </c>
    </row>
    <row r="3" spans="1:20" x14ac:dyDescent="0.25">
      <c r="A3" s="52" t="s">
        <v>115</v>
      </c>
      <c r="B3" s="52" t="str">
        <f>+IF(OR(C3="A",C3="A especial"),"Suspensión","Retención")</f>
        <v>Retención</v>
      </c>
      <c r="C3" s="52" t="s">
        <v>116</v>
      </c>
      <c r="D3" s="52"/>
      <c r="E3" s="55">
        <v>1</v>
      </c>
      <c r="F3" s="55">
        <v>1</v>
      </c>
      <c r="G3" s="55">
        <v>1</v>
      </c>
      <c r="H3" s="55">
        <v>1</v>
      </c>
      <c r="I3" s="54">
        <v>1</v>
      </c>
      <c r="J3" s="56">
        <v>1</v>
      </c>
      <c r="K3" s="53"/>
      <c r="L3" s="56"/>
      <c r="M3" s="2"/>
      <c r="O3" s="54">
        <v>1</v>
      </c>
      <c r="P3" s="290">
        <v>1</v>
      </c>
      <c r="Q3" s="290">
        <v>1</v>
      </c>
      <c r="R3" s="290">
        <v>1</v>
      </c>
      <c r="S3" s="290">
        <v>1</v>
      </c>
      <c r="T3" s="139">
        <v>1</v>
      </c>
    </row>
    <row r="4" spans="1:20" x14ac:dyDescent="0.25">
      <c r="A4" s="52" t="s">
        <v>11</v>
      </c>
      <c r="B4" s="52" t="str">
        <f t="shared" ref="B4:B69" si="0">+IF(OR(C4="A",C4="A especial"),"Suspensión","Retención")</f>
        <v>Retención</v>
      </c>
      <c r="C4" s="52" t="s">
        <v>117</v>
      </c>
      <c r="D4" s="52" t="s">
        <v>118</v>
      </c>
      <c r="E4" s="55">
        <v>1</v>
      </c>
      <c r="F4" s="55">
        <v>1</v>
      </c>
      <c r="G4" s="55">
        <v>1</v>
      </c>
      <c r="H4" s="55">
        <v>1</v>
      </c>
      <c r="I4" s="54">
        <v>1</v>
      </c>
      <c r="J4" s="56">
        <v>1</v>
      </c>
      <c r="K4" s="56">
        <v>1</v>
      </c>
      <c r="L4" s="56">
        <f t="shared" ref="L4:L5" si="1">SUMPRODUCT($E$3:$J$3,E4:J4)</f>
        <v>6</v>
      </c>
      <c r="M4" s="58"/>
      <c r="N4" s="102"/>
      <c r="O4" s="54">
        <v>1</v>
      </c>
      <c r="P4" s="55">
        <v>1</v>
      </c>
      <c r="Q4" s="55">
        <v>1</v>
      </c>
      <c r="R4" s="55">
        <v>1</v>
      </c>
      <c r="S4" s="55">
        <v>1</v>
      </c>
    </row>
    <row r="5" spans="1:20" x14ac:dyDescent="0.25">
      <c r="A5" s="52" t="s">
        <v>13</v>
      </c>
      <c r="B5" s="52" t="str">
        <f t="shared" si="0"/>
        <v>Retención</v>
      </c>
      <c r="C5" s="52" t="s">
        <v>119</v>
      </c>
      <c r="D5" s="52" t="s">
        <v>120</v>
      </c>
      <c r="E5" s="55">
        <v>1</v>
      </c>
      <c r="F5" s="55">
        <v>1</v>
      </c>
      <c r="G5" s="55">
        <v>1</v>
      </c>
      <c r="H5" s="55">
        <v>1</v>
      </c>
      <c r="I5" s="54">
        <v>1</v>
      </c>
      <c r="J5" s="56">
        <v>1</v>
      </c>
      <c r="K5" s="56">
        <v>1</v>
      </c>
      <c r="L5" s="56">
        <f t="shared" si="1"/>
        <v>6</v>
      </c>
      <c r="M5" s="58"/>
      <c r="N5" s="102" t="s">
        <v>143</v>
      </c>
      <c r="O5" s="54">
        <v>1</v>
      </c>
      <c r="P5" s="55">
        <v>1</v>
      </c>
      <c r="Q5" s="55">
        <v>1</v>
      </c>
      <c r="R5" s="55">
        <v>1</v>
      </c>
      <c r="S5" s="55">
        <v>1</v>
      </c>
    </row>
    <row r="6" spans="1:20" x14ac:dyDescent="0.25">
      <c r="A6" s="52" t="s">
        <v>14</v>
      </c>
      <c r="B6" s="52" t="str">
        <f t="shared" si="0"/>
        <v>Retención</v>
      </c>
      <c r="C6" s="52" t="s">
        <v>119</v>
      </c>
      <c r="D6" s="52" t="s">
        <v>120</v>
      </c>
      <c r="E6" s="55">
        <v>1</v>
      </c>
      <c r="F6" s="55">
        <v>1</v>
      </c>
      <c r="G6" s="55">
        <v>1</v>
      </c>
      <c r="H6" s="55">
        <v>1</v>
      </c>
      <c r="I6" s="54">
        <v>1</v>
      </c>
      <c r="J6" s="56">
        <v>1</v>
      </c>
      <c r="K6" s="56">
        <v>1</v>
      </c>
      <c r="L6" s="56">
        <v>3</v>
      </c>
      <c r="M6" s="58"/>
      <c r="N6" s="102"/>
      <c r="O6" s="54">
        <v>1</v>
      </c>
      <c r="P6" s="55">
        <v>1</v>
      </c>
      <c r="Q6" s="55">
        <v>1</v>
      </c>
      <c r="R6" s="55">
        <v>1</v>
      </c>
      <c r="S6" s="55">
        <v>1</v>
      </c>
    </row>
    <row r="7" spans="1:20" x14ac:dyDescent="0.25">
      <c r="A7" s="52" t="s">
        <v>15</v>
      </c>
      <c r="B7" s="52" t="str">
        <f t="shared" si="0"/>
        <v>Retención</v>
      </c>
      <c r="C7" s="52" t="s">
        <v>117</v>
      </c>
      <c r="D7" s="52" t="s">
        <v>120</v>
      </c>
      <c r="E7" s="55">
        <v>1</v>
      </c>
      <c r="F7" s="55">
        <v>1</v>
      </c>
      <c r="G7" s="55">
        <v>1</v>
      </c>
      <c r="H7" s="55">
        <v>1</v>
      </c>
      <c r="I7" s="54">
        <v>1</v>
      </c>
      <c r="J7" s="56">
        <v>1</v>
      </c>
      <c r="K7" s="53"/>
      <c r="L7" s="56">
        <v>3</v>
      </c>
      <c r="M7" s="58"/>
      <c r="N7" s="102"/>
      <c r="O7" s="54">
        <v>1</v>
      </c>
      <c r="P7" s="55">
        <v>1</v>
      </c>
      <c r="Q7" s="55">
        <v>1</v>
      </c>
      <c r="R7" s="55">
        <v>1</v>
      </c>
      <c r="S7" s="55">
        <v>1</v>
      </c>
    </row>
    <row r="8" spans="1:20" x14ac:dyDescent="0.25">
      <c r="A8" s="52" t="s">
        <v>16</v>
      </c>
      <c r="B8" s="52" t="str">
        <f t="shared" si="0"/>
        <v>Retención</v>
      </c>
      <c r="C8" s="52" t="s">
        <v>119</v>
      </c>
      <c r="D8" s="52" t="s">
        <v>121</v>
      </c>
      <c r="E8" s="55">
        <v>1</v>
      </c>
      <c r="F8" s="55">
        <v>1</v>
      </c>
      <c r="G8" s="55">
        <v>1</v>
      </c>
      <c r="H8" s="55">
        <v>1</v>
      </c>
      <c r="I8" s="54">
        <v>1</v>
      </c>
      <c r="J8" s="56">
        <v>1</v>
      </c>
      <c r="K8" s="53"/>
      <c r="L8" s="56">
        <v>3</v>
      </c>
      <c r="M8" s="58"/>
      <c r="N8" s="102" t="s">
        <v>143</v>
      </c>
      <c r="O8" s="54">
        <v>1</v>
      </c>
      <c r="P8" s="55">
        <v>1</v>
      </c>
      <c r="Q8" s="55">
        <v>1</v>
      </c>
      <c r="R8" s="55">
        <v>1</v>
      </c>
      <c r="S8" s="55">
        <v>1</v>
      </c>
    </row>
    <row r="9" spans="1:20" x14ac:dyDescent="0.25">
      <c r="A9" s="52" t="s">
        <v>17</v>
      </c>
      <c r="B9" s="52" t="str">
        <f t="shared" si="0"/>
        <v>Retención</v>
      </c>
      <c r="C9" s="52" t="s">
        <v>122</v>
      </c>
      <c r="D9" s="52" t="s">
        <v>121</v>
      </c>
      <c r="E9" s="55">
        <v>1</v>
      </c>
      <c r="F9" s="55">
        <v>1</v>
      </c>
      <c r="G9" s="55">
        <v>1</v>
      </c>
      <c r="H9" s="55">
        <v>1</v>
      </c>
      <c r="I9" s="54">
        <v>1</v>
      </c>
      <c r="J9" s="56">
        <v>1</v>
      </c>
      <c r="K9" s="53"/>
      <c r="L9" s="56">
        <v>3</v>
      </c>
      <c r="M9" s="58"/>
      <c r="N9" s="102" t="s">
        <v>143</v>
      </c>
      <c r="O9" s="54">
        <v>1</v>
      </c>
      <c r="P9" s="55">
        <v>1</v>
      </c>
      <c r="Q9" s="55">
        <v>1</v>
      </c>
      <c r="R9" s="55">
        <v>1</v>
      </c>
      <c r="S9" s="55">
        <v>1</v>
      </c>
    </row>
    <row r="10" spans="1:20" x14ac:dyDescent="0.25">
      <c r="A10" s="52" t="s">
        <v>18</v>
      </c>
      <c r="B10" s="52" t="str">
        <f t="shared" si="0"/>
        <v>Retención</v>
      </c>
      <c r="C10" s="52" t="s">
        <v>119</v>
      </c>
      <c r="D10" s="52" t="s">
        <v>121</v>
      </c>
      <c r="E10" s="55">
        <v>1</v>
      </c>
      <c r="F10" s="55">
        <v>1</v>
      </c>
      <c r="G10" s="55">
        <v>1</v>
      </c>
      <c r="H10" s="55">
        <v>1</v>
      </c>
      <c r="I10" s="54">
        <v>1</v>
      </c>
      <c r="J10" s="56">
        <v>1</v>
      </c>
      <c r="K10" s="56">
        <v>1</v>
      </c>
      <c r="L10" s="56">
        <v>3</v>
      </c>
      <c r="M10" s="58"/>
      <c r="N10" s="102" t="s">
        <v>143</v>
      </c>
      <c r="O10" s="54">
        <v>1</v>
      </c>
      <c r="P10" s="55">
        <v>1</v>
      </c>
      <c r="Q10" s="55">
        <v>1</v>
      </c>
      <c r="R10" s="55">
        <v>1</v>
      </c>
      <c r="S10" s="55">
        <v>1</v>
      </c>
    </row>
    <row r="11" spans="1:20" x14ac:dyDescent="0.25">
      <c r="A11" s="52" t="s">
        <v>19</v>
      </c>
      <c r="B11" s="52" t="str">
        <f t="shared" si="0"/>
        <v>Retención</v>
      </c>
      <c r="C11" s="52" t="s">
        <v>119</v>
      </c>
      <c r="D11" s="52" t="s">
        <v>118</v>
      </c>
      <c r="E11" s="55">
        <v>1</v>
      </c>
      <c r="F11" s="55">
        <v>1</v>
      </c>
      <c r="G11" s="55">
        <v>1</v>
      </c>
      <c r="H11" s="55">
        <v>1</v>
      </c>
      <c r="I11" s="54">
        <v>1</v>
      </c>
      <c r="J11" s="56">
        <v>1</v>
      </c>
      <c r="K11" s="56">
        <v>1</v>
      </c>
      <c r="L11" s="56">
        <v>3</v>
      </c>
      <c r="M11" s="58"/>
      <c r="N11" s="102" t="s">
        <v>143</v>
      </c>
      <c r="O11" s="54">
        <v>1</v>
      </c>
      <c r="P11" s="55">
        <v>1</v>
      </c>
      <c r="Q11" s="55">
        <v>1</v>
      </c>
      <c r="R11" s="55">
        <v>1</v>
      </c>
      <c r="S11" s="55">
        <v>1</v>
      </c>
    </row>
    <row r="12" spans="1:20" x14ac:dyDescent="0.25">
      <c r="A12" s="52" t="s">
        <v>20</v>
      </c>
      <c r="B12" s="52" t="str">
        <f t="shared" si="0"/>
        <v>Retención</v>
      </c>
      <c r="C12" s="52" t="s">
        <v>119</v>
      </c>
      <c r="D12" s="52" t="s">
        <v>120</v>
      </c>
      <c r="E12" s="55">
        <v>1</v>
      </c>
      <c r="F12" s="55">
        <v>1</v>
      </c>
      <c r="G12" s="55">
        <v>1</v>
      </c>
      <c r="H12" s="55">
        <v>1</v>
      </c>
      <c r="I12" s="54">
        <v>1</v>
      </c>
      <c r="J12" s="56">
        <v>1</v>
      </c>
      <c r="K12" s="56">
        <v>1</v>
      </c>
      <c r="L12" s="56">
        <v>3</v>
      </c>
      <c r="M12" s="58"/>
      <c r="N12" s="102" t="s">
        <v>143</v>
      </c>
      <c r="O12" s="54">
        <v>1</v>
      </c>
      <c r="P12" s="55">
        <v>1</v>
      </c>
      <c r="Q12" s="55">
        <v>1</v>
      </c>
      <c r="R12" s="55">
        <v>1</v>
      </c>
      <c r="S12" s="55">
        <v>1</v>
      </c>
    </row>
    <row r="13" spans="1:20" x14ac:dyDescent="0.25">
      <c r="A13" s="52" t="s">
        <v>21</v>
      </c>
      <c r="B13" s="52" t="str">
        <f t="shared" si="0"/>
        <v>Retención</v>
      </c>
      <c r="C13" s="52" t="s">
        <v>119</v>
      </c>
      <c r="D13" s="52" t="s">
        <v>123</v>
      </c>
      <c r="E13" s="55">
        <v>1</v>
      </c>
      <c r="F13" s="55">
        <v>1</v>
      </c>
      <c r="G13" s="55">
        <v>1</v>
      </c>
      <c r="H13" s="55">
        <v>1</v>
      </c>
      <c r="I13" s="54">
        <v>1</v>
      </c>
      <c r="J13" s="56">
        <v>1</v>
      </c>
      <c r="K13" s="53"/>
      <c r="L13" s="56">
        <v>3</v>
      </c>
      <c r="M13" s="58"/>
      <c r="N13" s="102" t="s">
        <v>143</v>
      </c>
      <c r="O13" s="54">
        <v>1</v>
      </c>
      <c r="P13" s="55">
        <v>1</v>
      </c>
      <c r="Q13" s="55">
        <v>1</v>
      </c>
      <c r="R13" s="55">
        <v>1</v>
      </c>
      <c r="S13" s="55">
        <v>1</v>
      </c>
      <c r="T13" s="139">
        <v>1</v>
      </c>
    </row>
    <row r="14" spans="1:20" x14ac:dyDescent="0.25">
      <c r="A14" s="52" t="s">
        <v>22</v>
      </c>
      <c r="B14" s="52" t="str">
        <f t="shared" si="0"/>
        <v>Retención</v>
      </c>
      <c r="C14" s="52" t="s">
        <v>122</v>
      </c>
      <c r="D14" s="52" t="s">
        <v>124</v>
      </c>
      <c r="E14" s="55">
        <v>1</v>
      </c>
      <c r="F14" s="55">
        <v>1</v>
      </c>
      <c r="G14" s="55">
        <v>1</v>
      </c>
      <c r="H14" s="55">
        <v>1</v>
      </c>
      <c r="I14" s="54">
        <v>1</v>
      </c>
      <c r="J14" s="56">
        <v>1</v>
      </c>
      <c r="K14" s="56">
        <v>1</v>
      </c>
      <c r="L14" s="56">
        <v>3</v>
      </c>
      <c r="M14" s="58"/>
      <c r="N14" s="102" t="s">
        <v>143</v>
      </c>
      <c r="O14" s="54">
        <v>1</v>
      </c>
      <c r="P14" s="55">
        <v>1</v>
      </c>
      <c r="Q14" s="55">
        <v>1</v>
      </c>
      <c r="R14" s="55">
        <v>1</v>
      </c>
      <c r="S14" s="55">
        <v>1</v>
      </c>
    </row>
    <row r="15" spans="1:20" x14ac:dyDescent="0.25">
      <c r="A15" s="52" t="s">
        <v>23</v>
      </c>
      <c r="B15" s="52" t="str">
        <f t="shared" si="0"/>
        <v>Retención</v>
      </c>
      <c r="C15" s="52" t="s">
        <v>119</v>
      </c>
      <c r="D15" s="52" t="s">
        <v>124</v>
      </c>
      <c r="E15" s="55">
        <v>1</v>
      </c>
      <c r="F15" s="55">
        <v>1</v>
      </c>
      <c r="G15" s="55">
        <v>1</v>
      </c>
      <c r="H15" s="55">
        <v>1</v>
      </c>
      <c r="I15" s="54">
        <v>1</v>
      </c>
      <c r="J15" s="56">
        <v>1</v>
      </c>
      <c r="K15" s="56">
        <v>1</v>
      </c>
      <c r="L15" s="56">
        <v>3</v>
      </c>
      <c r="M15" s="58"/>
      <c r="N15" s="102" t="s">
        <v>143</v>
      </c>
      <c r="O15" s="54">
        <v>1</v>
      </c>
      <c r="P15" s="55">
        <v>1</v>
      </c>
      <c r="Q15" s="55">
        <v>1</v>
      </c>
      <c r="R15" s="55">
        <v>1</v>
      </c>
      <c r="S15" s="55">
        <v>1</v>
      </c>
    </row>
    <row r="16" spans="1:20" x14ac:dyDescent="0.25">
      <c r="A16" s="52" t="s">
        <v>24</v>
      </c>
      <c r="B16" s="52" t="str">
        <f t="shared" si="0"/>
        <v>Retención</v>
      </c>
      <c r="C16" s="52" t="s">
        <v>122</v>
      </c>
      <c r="D16" s="52" t="s">
        <v>125</v>
      </c>
      <c r="E16" s="55">
        <v>1</v>
      </c>
      <c r="F16" s="55">
        <v>1</v>
      </c>
      <c r="G16" s="55">
        <v>1</v>
      </c>
      <c r="H16" s="55">
        <v>1</v>
      </c>
      <c r="I16" s="54">
        <v>1</v>
      </c>
      <c r="J16" s="56">
        <v>1</v>
      </c>
      <c r="K16" s="56">
        <v>1</v>
      </c>
      <c r="L16" s="56">
        <v>3</v>
      </c>
      <c r="M16" s="58"/>
      <c r="N16" s="102" t="s">
        <v>143</v>
      </c>
      <c r="O16" s="54">
        <v>1</v>
      </c>
      <c r="P16" s="55">
        <v>1</v>
      </c>
      <c r="Q16" s="55">
        <v>1</v>
      </c>
      <c r="R16" s="55">
        <v>1</v>
      </c>
      <c r="S16" s="55">
        <v>1</v>
      </c>
    </row>
    <row r="17" spans="1:23" x14ac:dyDescent="0.25">
      <c r="A17" s="52" t="s">
        <v>25</v>
      </c>
      <c r="B17" s="52" t="str">
        <f t="shared" si="0"/>
        <v>Retención</v>
      </c>
      <c r="C17" s="52" t="s">
        <v>119</v>
      </c>
      <c r="D17" s="52" t="s">
        <v>120</v>
      </c>
      <c r="E17" s="55">
        <v>1</v>
      </c>
      <c r="F17" s="55">
        <v>1</v>
      </c>
      <c r="G17" s="55">
        <v>1</v>
      </c>
      <c r="H17" s="55">
        <v>1</v>
      </c>
      <c r="I17" s="54">
        <v>1</v>
      </c>
      <c r="J17" s="56">
        <v>1</v>
      </c>
      <c r="K17" s="53"/>
      <c r="L17" s="56">
        <v>3</v>
      </c>
      <c r="M17" s="58"/>
      <c r="N17" s="102" t="s">
        <v>143</v>
      </c>
      <c r="O17" s="54">
        <v>1</v>
      </c>
      <c r="P17" s="55">
        <v>1</v>
      </c>
      <c r="Q17" s="55">
        <v>1</v>
      </c>
      <c r="R17" s="55">
        <v>1</v>
      </c>
      <c r="S17" s="55">
        <v>1</v>
      </c>
    </row>
    <row r="18" spans="1:23" x14ac:dyDescent="0.25">
      <c r="A18" s="52" t="s">
        <v>27</v>
      </c>
      <c r="B18" s="52" t="str">
        <f t="shared" si="0"/>
        <v>Suspensión</v>
      </c>
      <c r="C18" s="52" t="s">
        <v>126</v>
      </c>
      <c r="D18" s="52" t="s">
        <v>124</v>
      </c>
      <c r="E18" s="55">
        <v>1</v>
      </c>
      <c r="F18" s="55">
        <v>1</v>
      </c>
      <c r="G18" s="55">
        <v>1</v>
      </c>
      <c r="H18" s="55">
        <v>1</v>
      </c>
      <c r="I18" s="54">
        <v>1</v>
      </c>
      <c r="J18" s="56">
        <v>1</v>
      </c>
      <c r="K18" s="56">
        <v>1</v>
      </c>
      <c r="L18" s="56">
        <v>3</v>
      </c>
      <c r="M18" s="58"/>
      <c r="N18" s="102" t="s">
        <v>143</v>
      </c>
      <c r="O18" s="54">
        <v>1</v>
      </c>
      <c r="P18" s="55">
        <v>1</v>
      </c>
      <c r="Q18" s="55">
        <v>1</v>
      </c>
      <c r="R18" s="55">
        <v>1</v>
      </c>
      <c r="S18" s="55">
        <v>1</v>
      </c>
      <c r="W18">
        <v>1</v>
      </c>
    </row>
    <row r="19" spans="1:23" x14ac:dyDescent="0.25">
      <c r="A19" s="52" t="s">
        <v>28</v>
      </c>
      <c r="B19" s="52" t="str">
        <f t="shared" si="0"/>
        <v>Suspensión</v>
      </c>
      <c r="C19" s="52" t="s">
        <v>126</v>
      </c>
      <c r="D19" s="52" t="s">
        <v>121</v>
      </c>
      <c r="E19" s="55">
        <v>1</v>
      </c>
      <c r="F19" s="55">
        <v>1</v>
      </c>
      <c r="G19" s="55">
        <v>1</v>
      </c>
      <c r="H19" s="55">
        <v>1</v>
      </c>
      <c r="I19" s="54">
        <v>1</v>
      </c>
      <c r="J19" s="56">
        <v>1</v>
      </c>
      <c r="K19" s="56">
        <v>1</v>
      </c>
      <c r="L19" s="56">
        <v>3</v>
      </c>
      <c r="M19" s="58"/>
      <c r="N19" s="102" t="s">
        <v>143</v>
      </c>
      <c r="O19" s="54">
        <v>1</v>
      </c>
      <c r="P19" s="55">
        <v>1</v>
      </c>
      <c r="Q19" s="55">
        <v>1</v>
      </c>
      <c r="R19" s="55">
        <v>1</v>
      </c>
      <c r="S19" s="55">
        <v>1</v>
      </c>
      <c r="W19">
        <f>1/1.02</f>
        <v>0.98039215686274506</v>
      </c>
    </row>
    <row r="20" spans="1:23" x14ac:dyDescent="0.25">
      <c r="A20" s="52" t="s">
        <v>29</v>
      </c>
      <c r="B20" s="52" t="str">
        <f t="shared" si="0"/>
        <v>Suspensión</v>
      </c>
      <c r="C20" s="52" t="s">
        <v>126</v>
      </c>
      <c r="D20" s="52" t="s">
        <v>121</v>
      </c>
      <c r="E20" s="55">
        <v>1</v>
      </c>
      <c r="F20" s="55">
        <v>1</v>
      </c>
      <c r="G20" s="55">
        <v>1</v>
      </c>
      <c r="H20" s="55">
        <v>1</v>
      </c>
      <c r="I20" s="54">
        <v>1</v>
      </c>
      <c r="J20" s="56">
        <v>1</v>
      </c>
      <c r="K20" s="56">
        <v>1</v>
      </c>
      <c r="L20" s="56">
        <v>3</v>
      </c>
      <c r="M20" s="58"/>
      <c r="N20" s="102" t="s">
        <v>143</v>
      </c>
      <c r="O20" s="54">
        <v>1</v>
      </c>
      <c r="P20" s="55">
        <v>1</v>
      </c>
      <c r="Q20" s="55">
        <v>1</v>
      </c>
      <c r="R20" s="55">
        <v>1</v>
      </c>
      <c r="S20" s="55">
        <v>1</v>
      </c>
    </row>
    <row r="21" spans="1:23" x14ac:dyDescent="0.25">
      <c r="A21" s="52" t="s">
        <v>30</v>
      </c>
      <c r="B21" s="52" t="str">
        <f t="shared" si="0"/>
        <v>Retención</v>
      </c>
      <c r="C21" s="52" t="s">
        <v>119</v>
      </c>
      <c r="D21" s="52" t="s">
        <v>125</v>
      </c>
      <c r="E21" s="55">
        <v>1</v>
      </c>
      <c r="F21" s="55">
        <v>1</v>
      </c>
      <c r="G21" s="55">
        <v>1</v>
      </c>
      <c r="H21" s="55">
        <v>1</v>
      </c>
      <c r="I21" s="54">
        <v>1</v>
      </c>
      <c r="J21" s="56">
        <v>1</v>
      </c>
      <c r="K21" s="56">
        <v>1</v>
      </c>
      <c r="L21" s="56">
        <v>3</v>
      </c>
      <c r="M21" s="58"/>
      <c r="N21" s="102" t="s">
        <v>143</v>
      </c>
      <c r="O21" s="54">
        <v>1</v>
      </c>
      <c r="P21" s="55">
        <v>1</v>
      </c>
      <c r="Q21" s="55">
        <v>1</v>
      </c>
      <c r="R21" s="55">
        <v>1</v>
      </c>
      <c r="S21" s="55">
        <v>1</v>
      </c>
    </row>
    <row r="22" spans="1:23" x14ac:dyDescent="0.25">
      <c r="A22" s="52" t="s">
        <v>31</v>
      </c>
      <c r="B22" s="52" t="str">
        <f t="shared" si="0"/>
        <v>Suspensión</v>
      </c>
      <c r="C22" s="52" t="s">
        <v>126</v>
      </c>
      <c r="D22" s="52" t="s">
        <v>118</v>
      </c>
      <c r="E22" s="55">
        <v>1</v>
      </c>
      <c r="F22" s="55">
        <v>1</v>
      </c>
      <c r="G22" s="55">
        <v>1</v>
      </c>
      <c r="H22" s="55">
        <v>1</v>
      </c>
      <c r="I22" s="54">
        <v>1</v>
      </c>
      <c r="J22" s="56">
        <v>1</v>
      </c>
      <c r="K22" s="56">
        <v>1</v>
      </c>
      <c r="L22" s="56">
        <v>3</v>
      </c>
      <c r="M22" s="58"/>
      <c r="N22" s="102" t="s">
        <v>143</v>
      </c>
      <c r="O22" s="54">
        <v>1</v>
      </c>
      <c r="P22" s="55">
        <v>1</v>
      </c>
      <c r="Q22" s="55">
        <v>1</v>
      </c>
      <c r="R22" s="55">
        <v>1</v>
      </c>
      <c r="S22" s="55">
        <v>1</v>
      </c>
      <c r="T22" s="139">
        <v>1</v>
      </c>
    </row>
    <row r="23" spans="1:23" x14ac:dyDescent="0.25">
      <c r="A23" s="52" t="s">
        <v>32</v>
      </c>
      <c r="B23" s="52" t="str">
        <f t="shared" si="0"/>
        <v>Suspensión</v>
      </c>
      <c r="C23" s="52" t="s">
        <v>126</v>
      </c>
      <c r="D23" s="52" t="s">
        <v>124</v>
      </c>
      <c r="E23" s="55">
        <v>1</v>
      </c>
      <c r="F23" s="55">
        <v>1</v>
      </c>
      <c r="G23" s="55">
        <v>1</v>
      </c>
      <c r="H23" s="55">
        <v>1</v>
      </c>
      <c r="I23" s="54">
        <v>1</v>
      </c>
      <c r="J23" s="56">
        <v>1</v>
      </c>
      <c r="K23" s="56">
        <v>1</v>
      </c>
      <c r="L23" s="56">
        <v>3</v>
      </c>
      <c r="M23" s="58"/>
      <c r="N23" s="102" t="s">
        <v>143</v>
      </c>
      <c r="O23" s="54">
        <v>1</v>
      </c>
      <c r="P23" s="55">
        <v>1</v>
      </c>
      <c r="Q23" s="55">
        <v>1</v>
      </c>
      <c r="R23" s="55">
        <v>1</v>
      </c>
      <c r="S23" s="55">
        <v>1</v>
      </c>
    </row>
    <row r="24" spans="1:23" x14ac:dyDescent="0.25">
      <c r="A24" s="52" t="s">
        <v>33</v>
      </c>
      <c r="B24" s="52" t="str">
        <f t="shared" si="0"/>
        <v>Retención</v>
      </c>
      <c r="C24" s="52" t="s">
        <v>119</v>
      </c>
      <c r="D24" s="52" t="s">
        <v>125</v>
      </c>
      <c r="E24" s="55">
        <v>1</v>
      </c>
      <c r="F24" s="55">
        <v>1</v>
      </c>
      <c r="G24" s="55">
        <v>1</v>
      </c>
      <c r="H24" s="55">
        <v>1</v>
      </c>
      <c r="I24" s="54">
        <v>1</v>
      </c>
      <c r="J24" s="56">
        <v>1</v>
      </c>
      <c r="K24" s="56">
        <v>1</v>
      </c>
      <c r="L24" s="56">
        <v>3</v>
      </c>
      <c r="M24" s="58"/>
      <c r="N24" s="102" t="s">
        <v>143</v>
      </c>
      <c r="O24" s="54">
        <v>1</v>
      </c>
      <c r="P24" s="55">
        <v>1</v>
      </c>
      <c r="Q24" s="55">
        <v>1</v>
      </c>
      <c r="R24" s="55">
        <v>1</v>
      </c>
      <c r="S24" s="55">
        <v>1</v>
      </c>
    </row>
    <row r="25" spans="1:23" x14ac:dyDescent="0.25">
      <c r="A25" s="52" t="s">
        <v>34</v>
      </c>
      <c r="B25" s="52" t="str">
        <f t="shared" si="0"/>
        <v>Retención</v>
      </c>
      <c r="C25" s="52" t="s">
        <v>122</v>
      </c>
      <c r="D25" s="52" t="s">
        <v>124</v>
      </c>
      <c r="E25" s="55">
        <v>1</v>
      </c>
      <c r="F25" s="55">
        <v>1</v>
      </c>
      <c r="G25" s="55">
        <v>1</v>
      </c>
      <c r="H25" s="55">
        <v>1</v>
      </c>
      <c r="I25" s="54">
        <v>1</v>
      </c>
      <c r="J25" s="56">
        <v>1</v>
      </c>
      <c r="K25" s="56">
        <v>1</v>
      </c>
      <c r="L25" s="56">
        <v>3</v>
      </c>
      <c r="M25" s="58"/>
      <c r="N25" s="102"/>
      <c r="O25" s="54">
        <v>1</v>
      </c>
      <c r="P25" s="55">
        <v>1</v>
      </c>
      <c r="Q25" s="55">
        <v>1</v>
      </c>
      <c r="R25" s="55">
        <v>1</v>
      </c>
      <c r="S25" s="55">
        <v>1</v>
      </c>
    </row>
    <row r="26" spans="1:23" x14ac:dyDescent="0.25">
      <c r="A26" s="52" t="s">
        <v>35</v>
      </c>
      <c r="B26" s="52" t="str">
        <f t="shared" si="0"/>
        <v>Retención</v>
      </c>
      <c r="C26" s="52" t="s">
        <v>119</v>
      </c>
      <c r="D26" s="52" t="s">
        <v>124</v>
      </c>
      <c r="E26" s="55">
        <v>1</v>
      </c>
      <c r="F26" s="55">
        <v>1</v>
      </c>
      <c r="G26" s="55">
        <v>1</v>
      </c>
      <c r="H26" s="55">
        <v>1</v>
      </c>
      <c r="I26" s="54">
        <v>1</v>
      </c>
      <c r="J26" s="56">
        <v>1</v>
      </c>
      <c r="K26" s="56">
        <v>1</v>
      </c>
      <c r="L26" s="56">
        <v>3</v>
      </c>
      <c r="M26" s="58"/>
      <c r="N26" s="102" t="s">
        <v>143</v>
      </c>
      <c r="O26" s="54">
        <v>1</v>
      </c>
      <c r="P26" s="55">
        <v>1</v>
      </c>
      <c r="Q26" s="55">
        <v>1</v>
      </c>
      <c r="R26" s="55">
        <v>1</v>
      </c>
      <c r="S26" s="55">
        <v>1</v>
      </c>
    </row>
    <row r="27" spans="1:23" x14ac:dyDescent="0.25">
      <c r="A27" s="52" t="s">
        <v>36</v>
      </c>
      <c r="B27" s="52" t="str">
        <f t="shared" si="0"/>
        <v>Retención</v>
      </c>
      <c r="C27" s="52" t="s">
        <v>119</v>
      </c>
      <c r="D27" s="52" t="s">
        <v>124</v>
      </c>
      <c r="E27" s="55">
        <v>1</v>
      </c>
      <c r="F27" s="55">
        <v>1</v>
      </c>
      <c r="G27" s="55">
        <v>1</v>
      </c>
      <c r="H27" s="55">
        <v>1</v>
      </c>
      <c r="I27" s="54">
        <v>1</v>
      </c>
      <c r="J27" s="56">
        <v>1</v>
      </c>
      <c r="K27" s="56">
        <v>1</v>
      </c>
      <c r="L27" s="56">
        <v>3</v>
      </c>
      <c r="M27" s="58"/>
      <c r="N27" s="102" t="s">
        <v>143</v>
      </c>
      <c r="O27" s="54">
        <v>1</v>
      </c>
      <c r="P27" s="55">
        <v>1</v>
      </c>
      <c r="Q27" s="55">
        <v>1</v>
      </c>
      <c r="R27" s="55">
        <v>1</v>
      </c>
      <c r="S27" s="55">
        <v>1</v>
      </c>
    </row>
    <row r="28" spans="1:23" x14ac:dyDescent="0.25">
      <c r="A28" s="52" t="s">
        <v>37</v>
      </c>
      <c r="B28" s="52" t="str">
        <f t="shared" si="0"/>
        <v>Retención</v>
      </c>
      <c r="C28" s="52" t="s">
        <v>119</v>
      </c>
      <c r="D28" s="52" t="s">
        <v>123</v>
      </c>
      <c r="E28" s="55">
        <v>1</v>
      </c>
      <c r="F28" s="55">
        <v>1</v>
      </c>
      <c r="G28" s="55">
        <v>1</v>
      </c>
      <c r="H28" s="55">
        <v>1</v>
      </c>
      <c r="I28" s="54">
        <v>1</v>
      </c>
      <c r="J28" s="56">
        <v>1</v>
      </c>
      <c r="K28" s="53"/>
      <c r="L28" s="56">
        <v>3</v>
      </c>
      <c r="M28" s="58"/>
      <c r="N28" s="102" t="s">
        <v>143</v>
      </c>
      <c r="O28" s="54">
        <v>1</v>
      </c>
      <c r="P28" s="55">
        <v>1</v>
      </c>
      <c r="Q28" s="55">
        <v>1</v>
      </c>
      <c r="R28" s="55">
        <v>1</v>
      </c>
      <c r="S28" s="55">
        <v>1</v>
      </c>
    </row>
    <row r="29" spans="1:23" x14ac:dyDescent="0.25">
      <c r="A29" s="111"/>
      <c r="B29" s="111"/>
      <c r="C29" s="111"/>
      <c r="D29" s="111"/>
      <c r="E29" s="112"/>
      <c r="F29" s="112"/>
      <c r="G29" s="112"/>
      <c r="H29" s="112"/>
      <c r="I29" s="111"/>
      <c r="J29" s="113"/>
      <c r="K29" s="113"/>
      <c r="L29" s="113"/>
      <c r="M29" s="112"/>
      <c r="N29" s="114"/>
      <c r="O29" s="114"/>
      <c r="P29" s="114"/>
      <c r="Q29" s="114"/>
      <c r="R29" s="114"/>
      <c r="S29" s="114"/>
    </row>
    <row r="30" spans="1:23" x14ac:dyDescent="0.25">
      <c r="A30" s="52" t="s">
        <v>38</v>
      </c>
      <c r="B30" s="52" t="str">
        <f t="shared" si="0"/>
        <v>Suspensión</v>
      </c>
      <c r="C30" s="52" t="s">
        <v>126</v>
      </c>
      <c r="D30" s="52" t="s">
        <v>118</v>
      </c>
      <c r="E30" s="55">
        <v>1</v>
      </c>
      <c r="F30" s="55">
        <v>1</v>
      </c>
      <c r="G30" s="55">
        <v>1</v>
      </c>
      <c r="H30" s="55">
        <v>1</v>
      </c>
      <c r="I30" s="54">
        <v>1</v>
      </c>
      <c r="J30" s="56">
        <v>1</v>
      </c>
      <c r="K30" s="53"/>
      <c r="L30" s="56">
        <v>3</v>
      </c>
      <c r="M30" s="58"/>
      <c r="N30" s="102"/>
      <c r="O30" s="54">
        <v>1</v>
      </c>
      <c r="P30" s="55">
        <v>1</v>
      </c>
      <c r="Q30" s="55">
        <v>1</v>
      </c>
      <c r="R30" s="55">
        <v>1</v>
      </c>
      <c r="S30" s="55">
        <v>1</v>
      </c>
    </row>
    <row r="31" spans="1:23" x14ac:dyDescent="0.25">
      <c r="A31" s="52" t="s">
        <v>39</v>
      </c>
      <c r="B31" s="52" t="str">
        <f t="shared" si="0"/>
        <v>Retención</v>
      </c>
      <c r="C31" s="52" t="s">
        <v>119</v>
      </c>
      <c r="D31" s="52" t="s">
        <v>121</v>
      </c>
      <c r="E31" s="55">
        <v>1</v>
      </c>
      <c r="F31" s="55">
        <v>1</v>
      </c>
      <c r="G31" s="55">
        <v>1</v>
      </c>
      <c r="H31" s="55">
        <v>1</v>
      </c>
      <c r="I31" s="54">
        <v>1</v>
      </c>
      <c r="J31" s="56">
        <v>1</v>
      </c>
      <c r="K31" s="53"/>
      <c r="L31" s="56">
        <v>3</v>
      </c>
      <c r="M31" s="58"/>
      <c r="N31" s="102"/>
      <c r="O31" s="54">
        <v>1</v>
      </c>
      <c r="P31" s="55">
        <v>1</v>
      </c>
      <c r="Q31" s="55">
        <v>1</v>
      </c>
      <c r="R31" s="55">
        <v>1</v>
      </c>
      <c r="S31" s="55">
        <v>1</v>
      </c>
      <c r="T31" s="139">
        <v>1</v>
      </c>
    </row>
    <row r="32" spans="1:23" x14ac:dyDescent="0.25">
      <c r="A32" s="52" t="s">
        <v>40</v>
      </c>
      <c r="B32" s="52" t="str">
        <f t="shared" si="0"/>
        <v>Retención</v>
      </c>
      <c r="C32" s="52" t="s">
        <v>122</v>
      </c>
      <c r="D32" s="52" t="s">
        <v>120</v>
      </c>
      <c r="E32" s="55">
        <v>1</v>
      </c>
      <c r="F32" s="55">
        <v>1</v>
      </c>
      <c r="G32" s="55">
        <v>1</v>
      </c>
      <c r="H32" s="55">
        <v>1</v>
      </c>
      <c r="I32" s="54">
        <v>1</v>
      </c>
      <c r="J32" s="56">
        <v>1</v>
      </c>
      <c r="K32" s="53"/>
      <c r="L32" s="56">
        <v>3</v>
      </c>
      <c r="M32" s="58"/>
      <c r="N32" s="102"/>
      <c r="O32" s="54">
        <v>1</v>
      </c>
      <c r="P32" s="55">
        <v>1</v>
      </c>
      <c r="Q32" s="55">
        <v>1</v>
      </c>
      <c r="R32" s="55">
        <v>1</v>
      </c>
      <c r="S32" s="121">
        <v>1</v>
      </c>
    </row>
    <row r="33" spans="1:20" x14ac:dyDescent="0.25">
      <c r="A33" s="52" t="s">
        <v>41</v>
      </c>
      <c r="B33" s="52" t="str">
        <f t="shared" si="0"/>
        <v>Retención</v>
      </c>
      <c r="C33" s="52" t="s">
        <v>119</v>
      </c>
      <c r="D33" s="52" t="s">
        <v>124</v>
      </c>
      <c r="E33" s="55">
        <v>1</v>
      </c>
      <c r="F33" s="55">
        <v>1</v>
      </c>
      <c r="G33" s="55">
        <v>1</v>
      </c>
      <c r="H33" s="55">
        <v>1</v>
      </c>
      <c r="I33" s="54">
        <v>1</v>
      </c>
      <c r="J33" s="56">
        <v>1</v>
      </c>
      <c r="K33" s="53"/>
      <c r="L33" s="56">
        <v>3</v>
      </c>
      <c r="M33" s="58"/>
      <c r="N33" s="102"/>
      <c r="O33" s="54">
        <v>1</v>
      </c>
      <c r="P33" s="55">
        <v>1</v>
      </c>
      <c r="Q33" s="55">
        <v>1</v>
      </c>
      <c r="R33" s="55">
        <v>1</v>
      </c>
      <c r="S33" s="55">
        <v>1</v>
      </c>
    </row>
    <row r="34" spans="1:20" x14ac:dyDescent="0.25">
      <c r="A34" s="52" t="s">
        <v>42</v>
      </c>
      <c r="B34" s="52" t="str">
        <f t="shared" si="0"/>
        <v>Suspensión</v>
      </c>
      <c r="C34" s="52" t="s">
        <v>126</v>
      </c>
      <c r="D34" s="52" t="s">
        <v>124</v>
      </c>
      <c r="E34" s="55">
        <v>1</v>
      </c>
      <c r="F34" s="55">
        <v>1</v>
      </c>
      <c r="G34" s="55">
        <v>1</v>
      </c>
      <c r="H34" s="55">
        <v>1</v>
      </c>
      <c r="I34" s="54">
        <v>1</v>
      </c>
      <c r="J34" s="56">
        <v>1</v>
      </c>
      <c r="K34" s="53"/>
      <c r="L34" s="56">
        <v>3</v>
      </c>
      <c r="M34" s="58"/>
      <c r="N34" s="102"/>
      <c r="O34" s="54">
        <v>1</v>
      </c>
      <c r="P34" s="55">
        <v>1</v>
      </c>
      <c r="Q34" s="55">
        <v>1</v>
      </c>
      <c r="R34" s="55">
        <v>1</v>
      </c>
      <c r="S34" s="55">
        <v>1</v>
      </c>
    </row>
    <row r="35" spans="1:20" x14ac:dyDescent="0.25">
      <c r="A35" s="52" t="s">
        <v>43</v>
      </c>
      <c r="B35" s="52" t="str">
        <f t="shared" si="0"/>
        <v>Suspensión</v>
      </c>
      <c r="C35" s="52" t="s">
        <v>126</v>
      </c>
      <c r="D35" s="52" t="s">
        <v>118</v>
      </c>
      <c r="E35" s="55">
        <v>1</v>
      </c>
      <c r="F35" s="55">
        <v>1</v>
      </c>
      <c r="G35" s="55">
        <v>1</v>
      </c>
      <c r="H35" s="55">
        <v>1</v>
      </c>
      <c r="I35" s="54">
        <v>1</v>
      </c>
      <c r="J35" s="56">
        <v>1</v>
      </c>
      <c r="K35" s="53"/>
      <c r="L35" s="56">
        <v>3</v>
      </c>
      <c r="M35" s="58"/>
      <c r="N35" s="102"/>
      <c r="O35" s="54">
        <v>1</v>
      </c>
      <c r="P35" s="124">
        <v>1</v>
      </c>
      <c r="Q35" s="55">
        <v>1</v>
      </c>
      <c r="R35" s="55">
        <v>1</v>
      </c>
      <c r="S35" s="55">
        <v>1</v>
      </c>
    </row>
    <row r="36" spans="1:20" x14ac:dyDescent="0.25">
      <c r="A36" s="52" t="s">
        <v>44</v>
      </c>
      <c r="B36" s="52" t="str">
        <f t="shared" si="0"/>
        <v>Retención</v>
      </c>
      <c r="C36" s="52" t="s">
        <v>119</v>
      </c>
      <c r="D36" s="52" t="s">
        <v>118</v>
      </c>
      <c r="E36" s="55">
        <v>1</v>
      </c>
      <c r="F36" s="55">
        <v>1</v>
      </c>
      <c r="G36" s="55">
        <v>1</v>
      </c>
      <c r="H36" s="55">
        <v>1</v>
      </c>
      <c r="I36" s="54">
        <v>1</v>
      </c>
      <c r="J36" s="56">
        <v>1</v>
      </c>
      <c r="K36" s="53"/>
      <c r="L36" s="56">
        <v>3</v>
      </c>
      <c r="M36" s="58"/>
      <c r="N36" s="102"/>
      <c r="O36" s="54">
        <v>1</v>
      </c>
      <c r="P36" s="124">
        <v>1</v>
      </c>
      <c r="Q36" s="55">
        <v>1</v>
      </c>
      <c r="R36" s="55">
        <v>1</v>
      </c>
      <c r="S36" s="55">
        <v>1</v>
      </c>
    </row>
    <row r="37" spans="1:20" x14ac:dyDescent="0.25">
      <c r="A37" s="52" t="s">
        <v>45</v>
      </c>
      <c r="B37" s="52" t="str">
        <f t="shared" si="0"/>
        <v>Retención</v>
      </c>
      <c r="C37" s="52" t="s">
        <v>119</v>
      </c>
      <c r="D37" s="52" t="s">
        <v>120</v>
      </c>
      <c r="E37" s="55">
        <v>1</v>
      </c>
      <c r="F37" s="55">
        <v>1</v>
      </c>
      <c r="G37" s="55">
        <v>1</v>
      </c>
      <c r="H37" s="55">
        <v>1</v>
      </c>
      <c r="I37" s="54">
        <v>1</v>
      </c>
      <c r="J37" s="56">
        <v>1</v>
      </c>
      <c r="K37" s="53"/>
      <c r="L37" s="56">
        <v>3</v>
      </c>
      <c r="M37" s="58"/>
      <c r="N37" s="102"/>
      <c r="O37" s="54">
        <v>1</v>
      </c>
      <c r="P37" s="124">
        <v>1</v>
      </c>
      <c r="Q37" s="55">
        <v>1</v>
      </c>
      <c r="R37" s="55">
        <v>1</v>
      </c>
      <c r="S37" s="55">
        <v>1</v>
      </c>
    </row>
    <row r="38" spans="1:20" x14ac:dyDescent="0.25">
      <c r="A38" s="52" t="s">
        <v>46</v>
      </c>
      <c r="B38" s="52" t="str">
        <f t="shared" si="0"/>
        <v>Retención</v>
      </c>
      <c r="C38" s="52" t="s">
        <v>119</v>
      </c>
      <c r="D38" s="52" t="s">
        <v>120</v>
      </c>
      <c r="E38" s="55">
        <v>1</v>
      </c>
      <c r="F38" s="55">
        <v>1</v>
      </c>
      <c r="G38" s="55">
        <v>1</v>
      </c>
      <c r="H38" s="55">
        <v>1</v>
      </c>
      <c r="I38" s="54">
        <v>1</v>
      </c>
      <c r="J38" s="56">
        <v>1</v>
      </c>
      <c r="K38" s="53"/>
      <c r="L38" s="56">
        <v>3</v>
      </c>
      <c r="M38" s="58"/>
      <c r="N38" s="102"/>
      <c r="O38" s="54">
        <v>1</v>
      </c>
      <c r="P38" s="124">
        <v>1</v>
      </c>
      <c r="Q38" s="55">
        <v>1</v>
      </c>
      <c r="R38" s="55">
        <v>1</v>
      </c>
      <c r="S38" s="55">
        <v>1</v>
      </c>
    </row>
    <row r="39" spans="1:20" x14ac:dyDescent="0.25">
      <c r="A39" s="52" t="s">
        <v>47</v>
      </c>
      <c r="B39" s="52" t="str">
        <f t="shared" si="0"/>
        <v>Retención</v>
      </c>
      <c r="C39" s="52" t="s">
        <v>117</v>
      </c>
      <c r="D39" s="52" t="s">
        <v>125</v>
      </c>
      <c r="E39" s="55">
        <v>1</v>
      </c>
      <c r="F39" s="55">
        <v>1</v>
      </c>
      <c r="G39" s="55">
        <v>1</v>
      </c>
      <c r="H39" s="55">
        <v>1</v>
      </c>
      <c r="I39" s="54">
        <v>1</v>
      </c>
      <c r="J39" s="56">
        <v>1</v>
      </c>
      <c r="K39" s="53"/>
      <c r="L39" s="56">
        <v>3</v>
      </c>
      <c r="M39" s="58"/>
      <c r="N39" s="102"/>
      <c r="O39" s="54">
        <v>1</v>
      </c>
      <c r="P39" s="124">
        <v>1</v>
      </c>
      <c r="Q39" s="125">
        <v>1</v>
      </c>
      <c r="R39" s="55">
        <v>1</v>
      </c>
      <c r="S39" s="55">
        <v>1</v>
      </c>
      <c r="T39" s="139">
        <v>1</v>
      </c>
    </row>
    <row r="40" spans="1:20" x14ac:dyDescent="0.25">
      <c r="A40" s="52" t="s">
        <v>48</v>
      </c>
      <c r="B40" s="52" t="str">
        <f t="shared" si="0"/>
        <v>Retención</v>
      </c>
      <c r="C40" s="52" t="s">
        <v>122</v>
      </c>
      <c r="D40" s="52" t="s">
        <v>125</v>
      </c>
      <c r="E40" s="55">
        <v>1</v>
      </c>
      <c r="F40" s="55">
        <v>1</v>
      </c>
      <c r="G40" s="55">
        <v>1</v>
      </c>
      <c r="H40" s="55">
        <v>1</v>
      </c>
      <c r="I40" s="54">
        <v>1</v>
      </c>
      <c r="J40" s="56">
        <v>1</v>
      </c>
      <c r="K40" s="53"/>
      <c r="L40" s="56">
        <v>3</v>
      </c>
      <c r="M40" s="58"/>
      <c r="N40" s="102"/>
      <c r="O40" s="54">
        <v>1</v>
      </c>
      <c r="P40" s="124">
        <v>1</v>
      </c>
      <c r="Q40" s="124">
        <v>1</v>
      </c>
      <c r="R40" s="55">
        <v>1</v>
      </c>
      <c r="S40" s="55">
        <v>1</v>
      </c>
    </row>
    <row r="41" spans="1:20" x14ac:dyDescent="0.25">
      <c r="A41" s="52" t="s">
        <v>49</v>
      </c>
      <c r="B41" s="52" t="str">
        <f t="shared" si="0"/>
        <v>Suspensión</v>
      </c>
      <c r="C41" s="52" t="s">
        <v>126</v>
      </c>
      <c r="D41" s="52" t="s">
        <v>123</v>
      </c>
      <c r="E41" s="55">
        <v>1</v>
      </c>
      <c r="F41" s="55">
        <v>1</v>
      </c>
      <c r="G41" s="55">
        <v>1</v>
      </c>
      <c r="H41" s="55">
        <v>1</v>
      </c>
      <c r="I41" s="54">
        <v>1</v>
      </c>
      <c r="J41" s="56"/>
      <c r="K41" s="53"/>
      <c r="L41" s="56">
        <v>3</v>
      </c>
      <c r="M41" s="58"/>
      <c r="N41" s="102"/>
      <c r="O41" s="54">
        <v>1</v>
      </c>
      <c r="P41" s="124">
        <v>1</v>
      </c>
      <c r="Q41" s="124">
        <v>1</v>
      </c>
      <c r="R41" s="55">
        <v>1</v>
      </c>
      <c r="S41" s="55">
        <v>1</v>
      </c>
    </row>
    <row r="42" spans="1:20" x14ac:dyDescent="0.25">
      <c r="A42" s="52" t="s">
        <v>50</v>
      </c>
      <c r="B42" s="52" t="str">
        <f t="shared" si="0"/>
        <v>Suspensión</v>
      </c>
      <c r="C42" s="52" t="s">
        <v>126</v>
      </c>
      <c r="D42" s="52" t="s">
        <v>123</v>
      </c>
      <c r="E42" s="55">
        <v>1</v>
      </c>
      <c r="F42" s="55">
        <v>1</v>
      </c>
      <c r="G42" s="55">
        <v>1</v>
      </c>
      <c r="H42" s="55">
        <v>1</v>
      </c>
      <c r="I42" s="54">
        <v>1</v>
      </c>
      <c r="J42" s="56"/>
      <c r="K42" s="53"/>
      <c r="L42" s="56">
        <v>3</v>
      </c>
      <c r="M42" s="58"/>
      <c r="N42" s="102"/>
      <c r="O42" s="54">
        <v>1</v>
      </c>
      <c r="P42" s="124">
        <v>1</v>
      </c>
      <c r="Q42" s="124">
        <v>1</v>
      </c>
      <c r="R42" s="55">
        <v>1</v>
      </c>
      <c r="S42" s="55">
        <v>1</v>
      </c>
    </row>
    <row r="43" spans="1:20" x14ac:dyDescent="0.25">
      <c r="A43" s="52" t="s">
        <v>51</v>
      </c>
      <c r="B43" s="52" t="str">
        <f t="shared" si="0"/>
        <v>Suspensión</v>
      </c>
      <c r="C43" s="52" t="s">
        <v>126</v>
      </c>
      <c r="D43" s="52" t="s">
        <v>120</v>
      </c>
      <c r="E43" s="55">
        <v>1</v>
      </c>
      <c r="F43" s="55">
        <v>1</v>
      </c>
      <c r="G43" s="55">
        <v>1</v>
      </c>
      <c r="H43" s="55">
        <v>1</v>
      </c>
      <c r="I43" s="54">
        <v>1</v>
      </c>
      <c r="J43" s="56"/>
      <c r="K43" s="53"/>
      <c r="L43" s="56">
        <v>3</v>
      </c>
      <c r="M43" s="58"/>
      <c r="N43" s="102"/>
      <c r="O43" s="54">
        <v>1</v>
      </c>
      <c r="P43" s="124">
        <v>1</v>
      </c>
      <c r="Q43" s="124">
        <v>1</v>
      </c>
      <c r="R43" s="55">
        <v>1</v>
      </c>
      <c r="S43" s="55">
        <v>1</v>
      </c>
    </row>
    <row r="44" spans="1:20" x14ac:dyDescent="0.25">
      <c r="A44" s="52" t="s">
        <v>52</v>
      </c>
      <c r="B44" s="52" t="str">
        <f t="shared" si="0"/>
        <v>Suspensión</v>
      </c>
      <c r="C44" s="52" t="s">
        <v>126</v>
      </c>
      <c r="D44" s="52" t="s">
        <v>120</v>
      </c>
      <c r="E44" s="55">
        <v>1</v>
      </c>
      <c r="F44" s="55">
        <v>1</v>
      </c>
      <c r="G44" s="55">
        <v>1</v>
      </c>
      <c r="H44" s="55">
        <v>1</v>
      </c>
      <c r="I44" s="54">
        <v>1</v>
      </c>
      <c r="J44" s="56"/>
      <c r="L44" s="56">
        <v>3</v>
      </c>
      <c r="M44" s="58"/>
      <c r="N44" s="102"/>
      <c r="O44" s="54">
        <v>1</v>
      </c>
      <c r="P44" s="124">
        <v>1</v>
      </c>
      <c r="Q44" s="124">
        <v>1</v>
      </c>
      <c r="R44" s="55">
        <v>1</v>
      </c>
      <c r="S44" s="55">
        <v>1</v>
      </c>
    </row>
    <row r="45" spans="1:20" x14ac:dyDescent="0.25">
      <c r="A45" s="52" t="s">
        <v>53</v>
      </c>
      <c r="B45" s="52" t="str">
        <f t="shared" si="0"/>
        <v>Suspensión</v>
      </c>
      <c r="C45" s="52" t="s">
        <v>126</v>
      </c>
      <c r="D45" s="52" t="s">
        <v>123</v>
      </c>
      <c r="E45" s="55">
        <v>1</v>
      </c>
      <c r="F45" s="55">
        <v>1</v>
      </c>
      <c r="G45" s="55">
        <v>1</v>
      </c>
      <c r="H45" s="55">
        <v>1</v>
      </c>
      <c r="I45" s="54">
        <v>1</v>
      </c>
      <c r="J45" s="56"/>
      <c r="K45" s="53"/>
      <c r="L45" s="56">
        <v>3</v>
      </c>
      <c r="M45" s="58"/>
      <c r="N45" s="102"/>
      <c r="O45" s="54">
        <v>1</v>
      </c>
      <c r="P45" s="124">
        <v>1</v>
      </c>
      <c r="Q45" s="124">
        <v>1</v>
      </c>
      <c r="R45" s="55">
        <v>1</v>
      </c>
      <c r="S45" s="55">
        <v>1</v>
      </c>
    </row>
    <row r="46" spans="1:20" x14ac:dyDescent="0.25">
      <c r="A46" s="52" t="s">
        <v>54</v>
      </c>
      <c r="B46" s="52" t="str">
        <f t="shared" si="0"/>
        <v>Retención</v>
      </c>
      <c r="C46" s="52" t="s">
        <v>117</v>
      </c>
      <c r="D46" s="52" t="s">
        <v>121</v>
      </c>
      <c r="E46" s="55">
        <v>1</v>
      </c>
      <c r="F46" s="55">
        <v>1</v>
      </c>
      <c r="G46" s="55">
        <v>1</v>
      </c>
      <c r="H46" s="55">
        <v>1</v>
      </c>
      <c r="I46" s="54">
        <v>1</v>
      </c>
      <c r="J46" s="56">
        <v>1</v>
      </c>
      <c r="K46" s="55">
        <v>1</v>
      </c>
      <c r="L46" s="56">
        <v>3</v>
      </c>
      <c r="M46" s="58"/>
      <c r="N46" s="102"/>
      <c r="O46" s="54">
        <v>1</v>
      </c>
      <c r="P46" s="124">
        <v>1</v>
      </c>
      <c r="Q46" s="124">
        <v>1</v>
      </c>
      <c r="R46" s="55">
        <v>1</v>
      </c>
      <c r="S46" s="55">
        <v>1</v>
      </c>
    </row>
    <row r="47" spans="1:20" x14ac:dyDescent="0.25">
      <c r="A47" s="52" t="s">
        <v>55</v>
      </c>
      <c r="B47" s="52" t="str">
        <f t="shared" si="0"/>
        <v>Retención</v>
      </c>
      <c r="C47" s="52" t="s">
        <v>117</v>
      </c>
      <c r="D47" s="52" t="s">
        <v>121</v>
      </c>
      <c r="E47" s="55">
        <v>1</v>
      </c>
      <c r="F47" s="55">
        <v>1</v>
      </c>
      <c r="G47" s="55">
        <v>1</v>
      </c>
      <c r="H47" s="55">
        <v>1</v>
      </c>
      <c r="I47" s="54">
        <v>1</v>
      </c>
      <c r="J47" s="56">
        <v>1</v>
      </c>
      <c r="K47" s="55">
        <v>1</v>
      </c>
      <c r="L47" s="56">
        <v>3</v>
      </c>
      <c r="M47" s="58"/>
      <c r="N47" s="102"/>
      <c r="O47" s="54">
        <v>1</v>
      </c>
      <c r="P47" s="124">
        <v>1</v>
      </c>
      <c r="Q47" s="124">
        <v>1</v>
      </c>
      <c r="R47" s="55">
        <v>1</v>
      </c>
      <c r="S47" s="55">
        <v>1</v>
      </c>
      <c r="T47" s="139">
        <v>1</v>
      </c>
    </row>
    <row r="48" spans="1:20" x14ac:dyDescent="0.25">
      <c r="A48" s="52" t="s">
        <v>56</v>
      </c>
      <c r="B48" s="52" t="str">
        <f t="shared" si="0"/>
        <v>Retención</v>
      </c>
      <c r="C48" s="52" t="s">
        <v>119</v>
      </c>
      <c r="D48" s="52" t="s">
        <v>124</v>
      </c>
      <c r="E48" s="55">
        <v>1</v>
      </c>
      <c r="F48" s="55">
        <v>1</v>
      </c>
      <c r="G48" s="55">
        <v>1</v>
      </c>
      <c r="H48" s="55">
        <v>1</v>
      </c>
      <c r="I48" s="54">
        <v>1</v>
      </c>
      <c r="J48" s="56"/>
      <c r="K48" s="139">
        <v>1</v>
      </c>
      <c r="L48" s="56">
        <v>3</v>
      </c>
      <c r="M48" s="58"/>
      <c r="N48" s="102"/>
      <c r="O48" s="54">
        <v>1</v>
      </c>
      <c r="P48" s="126">
        <v>1</v>
      </c>
      <c r="Q48" s="125">
        <v>1</v>
      </c>
      <c r="R48" s="55">
        <v>1</v>
      </c>
      <c r="S48" s="55">
        <v>1</v>
      </c>
    </row>
    <row r="49" spans="1:20" x14ac:dyDescent="0.25">
      <c r="A49" s="52" t="s">
        <v>57</v>
      </c>
      <c r="B49" s="52" t="str">
        <f t="shared" si="0"/>
        <v>Suspensión</v>
      </c>
      <c r="C49" s="52" t="s">
        <v>126</v>
      </c>
      <c r="D49" s="52" t="s">
        <v>124</v>
      </c>
      <c r="E49" s="55">
        <v>1</v>
      </c>
      <c r="F49" s="55">
        <v>1</v>
      </c>
      <c r="G49" s="55">
        <v>1</v>
      </c>
      <c r="H49" s="55">
        <v>1</v>
      </c>
      <c r="I49" s="54">
        <v>1</v>
      </c>
      <c r="J49" s="56"/>
      <c r="K49" s="56">
        <v>1</v>
      </c>
      <c r="L49" s="56">
        <v>3</v>
      </c>
      <c r="M49" s="58"/>
      <c r="N49" s="102"/>
      <c r="O49" s="54">
        <v>1</v>
      </c>
      <c r="P49" s="126">
        <v>1</v>
      </c>
      <c r="Q49" s="125">
        <v>1</v>
      </c>
      <c r="R49" s="55">
        <v>1</v>
      </c>
      <c r="S49" s="55">
        <v>1</v>
      </c>
    </row>
    <row r="50" spans="1:20" x14ac:dyDescent="0.25">
      <c r="A50" s="52" t="s">
        <v>58</v>
      </c>
      <c r="B50" s="52" t="str">
        <f t="shared" si="0"/>
        <v>Retención</v>
      </c>
      <c r="C50" s="52" t="s">
        <v>119</v>
      </c>
      <c r="D50" s="52" t="s">
        <v>124</v>
      </c>
      <c r="E50" s="55">
        <v>1</v>
      </c>
      <c r="F50" s="55">
        <v>1</v>
      </c>
      <c r="G50" s="55">
        <v>1</v>
      </c>
      <c r="H50" s="55">
        <v>1</v>
      </c>
      <c r="I50" s="54">
        <v>1</v>
      </c>
      <c r="J50" s="56">
        <v>1</v>
      </c>
      <c r="K50" s="56">
        <v>1</v>
      </c>
      <c r="L50" s="56">
        <v>3</v>
      </c>
      <c r="M50" s="58"/>
      <c r="N50" s="102"/>
      <c r="O50" s="54">
        <v>1</v>
      </c>
      <c r="P50" s="125">
        <v>1</v>
      </c>
      <c r="Q50" s="125">
        <v>1</v>
      </c>
      <c r="R50" s="55">
        <v>1</v>
      </c>
      <c r="S50" s="55">
        <v>1</v>
      </c>
    </row>
    <row r="51" spans="1:20" x14ac:dyDescent="0.25">
      <c r="A51" s="52" t="s">
        <v>59</v>
      </c>
      <c r="B51" s="52" t="str">
        <f>+IF(OR(C51="A",C51="A especial"),"Suspensión","Retención")</f>
        <v>Retención</v>
      </c>
      <c r="C51" s="52" t="s">
        <v>119</v>
      </c>
      <c r="D51" s="52" t="s">
        <v>118</v>
      </c>
      <c r="E51" s="55">
        <v>1</v>
      </c>
      <c r="F51" s="55">
        <v>1</v>
      </c>
      <c r="G51" s="55">
        <v>1</v>
      </c>
      <c r="H51" s="55">
        <v>1</v>
      </c>
      <c r="I51" s="54">
        <v>1</v>
      </c>
      <c r="J51" s="56">
        <v>1</v>
      </c>
      <c r="K51" s="53"/>
      <c r="L51" s="56">
        <v>3</v>
      </c>
      <c r="M51" s="58"/>
      <c r="N51" s="102"/>
      <c r="O51" s="54">
        <v>1</v>
      </c>
      <c r="P51" s="125">
        <v>1</v>
      </c>
      <c r="Q51" s="125">
        <v>1</v>
      </c>
      <c r="R51" s="55">
        <v>1</v>
      </c>
      <c r="S51" s="55">
        <v>1</v>
      </c>
    </row>
    <row r="52" spans="1:20" x14ac:dyDescent="0.25">
      <c r="A52" s="111"/>
      <c r="B52" s="111"/>
      <c r="C52" s="111"/>
      <c r="D52" s="111"/>
      <c r="E52" s="112"/>
      <c r="F52" s="112"/>
      <c r="G52" s="112"/>
      <c r="H52" s="112"/>
      <c r="I52" s="111"/>
      <c r="J52" s="113"/>
      <c r="K52" s="113"/>
      <c r="L52" s="113"/>
      <c r="M52" s="112"/>
      <c r="N52" s="114"/>
      <c r="O52" s="115"/>
      <c r="P52" s="127"/>
      <c r="Q52" s="125">
        <v>1</v>
      </c>
      <c r="R52" s="55">
        <v>1</v>
      </c>
      <c r="S52" s="55">
        <v>1</v>
      </c>
    </row>
    <row r="53" spans="1:20" x14ac:dyDescent="0.25">
      <c r="A53" s="52" t="s">
        <v>60</v>
      </c>
      <c r="B53" s="52" t="str">
        <f t="shared" si="0"/>
        <v>Retención</v>
      </c>
      <c r="C53" s="52" t="s">
        <v>122</v>
      </c>
      <c r="D53" s="52" t="s">
        <v>121</v>
      </c>
      <c r="E53" s="55">
        <v>1</v>
      </c>
      <c r="F53" s="55">
        <v>1</v>
      </c>
      <c r="G53" s="55">
        <v>1</v>
      </c>
      <c r="H53" s="55">
        <v>1</v>
      </c>
      <c r="I53" s="54">
        <v>1</v>
      </c>
      <c r="J53" s="56">
        <v>1</v>
      </c>
      <c r="K53" s="56">
        <v>1</v>
      </c>
      <c r="L53" s="56">
        <v>3</v>
      </c>
      <c r="M53" s="58"/>
      <c r="N53" s="102"/>
      <c r="O53" s="54">
        <v>1</v>
      </c>
      <c r="P53" s="125">
        <v>1</v>
      </c>
      <c r="Q53" s="125">
        <v>1</v>
      </c>
      <c r="R53" s="55">
        <v>1</v>
      </c>
      <c r="S53" s="55">
        <v>1</v>
      </c>
    </row>
    <row r="54" spans="1:20" x14ac:dyDescent="0.25">
      <c r="A54" s="52" t="s">
        <v>61</v>
      </c>
      <c r="B54" s="52" t="str">
        <f t="shared" si="0"/>
        <v>Retención</v>
      </c>
      <c r="C54" s="52" t="s">
        <v>122</v>
      </c>
      <c r="D54" s="52" t="s">
        <v>121</v>
      </c>
      <c r="E54" s="55">
        <v>1</v>
      </c>
      <c r="F54" s="55">
        <v>1</v>
      </c>
      <c r="G54" s="55">
        <v>1</v>
      </c>
      <c r="H54" s="55">
        <v>1</v>
      </c>
      <c r="I54" s="54">
        <v>1</v>
      </c>
      <c r="J54" s="56">
        <v>1</v>
      </c>
      <c r="K54" s="56">
        <v>1</v>
      </c>
      <c r="L54" s="56">
        <v>3</v>
      </c>
      <c r="M54" s="58"/>
      <c r="N54" s="102"/>
      <c r="O54" s="54">
        <v>1</v>
      </c>
      <c r="P54" s="125">
        <v>1</v>
      </c>
      <c r="Q54" s="125">
        <v>1</v>
      </c>
      <c r="R54" s="55">
        <v>1</v>
      </c>
      <c r="S54" s="55">
        <v>1</v>
      </c>
    </row>
    <row r="55" spans="1:20" x14ac:dyDescent="0.25">
      <c r="A55" s="52" t="s">
        <v>62</v>
      </c>
      <c r="B55" s="52" t="str">
        <f t="shared" si="0"/>
        <v>Suspensión</v>
      </c>
      <c r="C55" s="52" t="s">
        <v>126</v>
      </c>
      <c r="D55" s="52" t="s">
        <v>120</v>
      </c>
      <c r="E55" s="55">
        <v>1</v>
      </c>
      <c r="F55" s="55">
        <v>1</v>
      </c>
      <c r="G55" s="55">
        <v>1</v>
      </c>
      <c r="H55" s="55">
        <v>1</v>
      </c>
      <c r="I55" s="54">
        <v>1</v>
      </c>
      <c r="J55" s="56"/>
      <c r="K55" s="56">
        <v>1</v>
      </c>
      <c r="L55" s="56">
        <v>3</v>
      </c>
      <c r="M55" s="58"/>
      <c r="N55" s="102"/>
      <c r="O55" s="54">
        <v>1</v>
      </c>
      <c r="P55" s="55">
        <v>1</v>
      </c>
      <c r="Q55" s="55">
        <v>1</v>
      </c>
      <c r="R55" s="55">
        <v>1</v>
      </c>
      <c r="S55" s="55">
        <v>1</v>
      </c>
    </row>
    <row r="56" spans="1:20" x14ac:dyDescent="0.25">
      <c r="A56" s="52" t="s">
        <v>63</v>
      </c>
      <c r="B56" s="52" t="str">
        <f t="shared" si="0"/>
        <v>Retención</v>
      </c>
      <c r="C56" s="52" t="s">
        <v>119</v>
      </c>
      <c r="D56" s="52" t="s">
        <v>118</v>
      </c>
      <c r="E56" s="55">
        <v>1</v>
      </c>
      <c r="F56" s="55">
        <v>1</v>
      </c>
      <c r="G56" s="55">
        <v>1</v>
      </c>
      <c r="H56" s="55">
        <v>1</v>
      </c>
      <c r="I56" s="54">
        <v>1</v>
      </c>
      <c r="J56" s="56">
        <v>1</v>
      </c>
      <c r="K56" s="53"/>
      <c r="L56" s="56">
        <v>3</v>
      </c>
      <c r="M56" s="58"/>
      <c r="N56" s="102"/>
      <c r="O56" s="54">
        <v>1</v>
      </c>
      <c r="P56" s="55">
        <v>1</v>
      </c>
      <c r="Q56" s="55">
        <v>1</v>
      </c>
      <c r="R56" s="55">
        <v>1</v>
      </c>
      <c r="S56" s="55">
        <v>1</v>
      </c>
      <c r="T56" s="139">
        <v>1</v>
      </c>
    </row>
    <row r="57" spans="1:20" x14ac:dyDescent="0.25">
      <c r="A57" s="52" t="s">
        <v>64</v>
      </c>
      <c r="B57" s="52" t="str">
        <f t="shared" si="0"/>
        <v>Retención</v>
      </c>
      <c r="C57" s="52" t="s">
        <v>119</v>
      </c>
      <c r="D57" s="52" t="s">
        <v>124</v>
      </c>
      <c r="E57" s="55">
        <v>1</v>
      </c>
      <c r="F57" s="55">
        <v>1</v>
      </c>
      <c r="G57" s="55">
        <v>1</v>
      </c>
      <c r="H57" s="55">
        <v>1</v>
      </c>
      <c r="I57" s="54">
        <v>1</v>
      </c>
      <c r="J57" s="56">
        <v>1</v>
      </c>
      <c r="K57" s="53"/>
      <c r="L57" s="56">
        <v>3</v>
      </c>
      <c r="M57" s="58"/>
      <c r="N57" s="102"/>
      <c r="O57" s="54">
        <v>1</v>
      </c>
      <c r="P57" s="55">
        <v>1</v>
      </c>
      <c r="Q57" s="55">
        <v>1</v>
      </c>
      <c r="R57" s="55">
        <v>1</v>
      </c>
      <c r="S57" s="55">
        <v>1</v>
      </c>
    </row>
    <row r="58" spans="1:20" x14ac:dyDescent="0.25">
      <c r="A58" s="52" t="s">
        <v>65</v>
      </c>
      <c r="B58" s="52" t="str">
        <f t="shared" si="0"/>
        <v>Retención</v>
      </c>
      <c r="C58" s="52" t="s">
        <v>119</v>
      </c>
      <c r="D58" s="52" t="s">
        <v>120</v>
      </c>
      <c r="E58" s="55">
        <v>1</v>
      </c>
      <c r="F58" s="55">
        <v>1</v>
      </c>
      <c r="G58" s="55">
        <v>1</v>
      </c>
      <c r="H58" s="55">
        <v>1</v>
      </c>
      <c r="I58" s="54">
        <v>1</v>
      </c>
      <c r="J58" s="56">
        <v>1</v>
      </c>
      <c r="K58" s="56">
        <v>1</v>
      </c>
      <c r="L58" s="56">
        <v>3</v>
      </c>
      <c r="M58" s="58"/>
      <c r="N58" s="102"/>
      <c r="O58" s="54">
        <v>1</v>
      </c>
      <c r="P58" s="55">
        <v>1</v>
      </c>
      <c r="Q58" s="55">
        <v>1</v>
      </c>
      <c r="R58" s="55">
        <v>1</v>
      </c>
      <c r="S58" s="55">
        <v>1</v>
      </c>
    </row>
    <row r="59" spans="1:20" x14ac:dyDescent="0.25">
      <c r="A59" s="52" t="s">
        <v>66</v>
      </c>
      <c r="B59" s="52" t="str">
        <f t="shared" si="0"/>
        <v>Suspensión</v>
      </c>
      <c r="C59" s="52" t="s">
        <v>126</v>
      </c>
      <c r="D59" s="52" t="s">
        <v>120</v>
      </c>
      <c r="E59" s="55">
        <v>1</v>
      </c>
      <c r="F59" s="55">
        <v>1</v>
      </c>
      <c r="G59" s="55">
        <v>1</v>
      </c>
      <c r="H59" s="55">
        <v>1</v>
      </c>
      <c r="I59" s="54">
        <v>1</v>
      </c>
      <c r="J59" s="56"/>
      <c r="K59" s="56">
        <v>1</v>
      </c>
      <c r="L59" s="56">
        <v>3</v>
      </c>
      <c r="M59" s="58"/>
      <c r="N59" s="102"/>
      <c r="O59" s="54">
        <v>1</v>
      </c>
      <c r="P59" s="55">
        <v>1</v>
      </c>
      <c r="Q59" s="55">
        <v>1</v>
      </c>
      <c r="R59" s="55">
        <v>1</v>
      </c>
      <c r="S59" s="55">
        <v>1</v>
      </c>
    </row>
    <row r="60" spans="1:20" x14ac:dyDescent="0.25">
      <c r="A60" s="52" t="s">
        <v>67</v>
      </c>
      <c r="B60" s="52" t="str">
        <f t="shared" si="0"/>
        <v>Suspensión</v>
      </c>
      <c r="C60" s="52" t="s">
        <v>126</v>
      </c>
      <c r="D60" s="52" t="s">
        <v>121</v>
      </c>
      <c r="E60" s="55">
        <v>1</v>
      </c>
      <c r="F60" s="55">
        <v>1</v>
      </c>
      <c r="G60" s="55">
        <v>1</v>
      </c>
      <c r="H60" s="55">
        <v>1</v>
      </c>
      <c r="I60" s="54">
        <v>1</v>
      </c>
      <c r="J60" s="56"/>
      <c r="K60" s="56">
        <v>1</v>
      </c>
      <c r="L60" s="56">
        <v>3</v>
      </c>
      <c r="M60" s="58"/>
      <c r="N60" s="102"/>
      <c r="O60" s="54">
        <v>1</v>
      </c>
      <c r="P60" s="55">
        <v>1</v>
      </c>
      <c r="Q60" s="55">
        <v>1</v>
      </c>
      <c r="R60" s="55">
        <v>1</v>
      </c>
      <c r="S60" s="55">
        <v>1</v>
      </c>
    </row>
    <row r="61" spans="1:20" x14ac:dyDescent="0.25">
      <c r="A61" s="52" t="s">
        <v>68</v>
      </c>
      <c r="B61" s="52" t="str">
        <f t="shared" si="0"/>
        <v>Retención</v>
      </c>
      <c r="C61" s="52" t="s">
        <v>119</v>
      </c>
      <c r="D61" s="52" t="s">
        <v>123</v>
      </c>
      <c r="E61" s="55">
        <v>1</v>
      </c>
      <c r="F61" s="55">
        <v>1</v>
      </c>
      <c r="G61" s="55">
        <v>1</v>
      </c>
      <c r="H61" s="55">
        <v>1</v>
      </c>
      <c r="I61" s="54">
        <v>1</v>
      </c>
      <c r="J61" s="56">
        <v>1</v>
      </c>
      <c r="K61" s="56">
        <v>1</v>
      </c>
      <c r="L61" s="56">
        <v>3</v>
      </c>
      <c r="M61" s="58"/>
      <c r="N61" s="102"/>
      <c r="O61" s="54">
        <v>1</v>
      </c>
      <c r="P61" s="55">
        <v>1</v>
      </c>
      <c r="Q61" s="55">
        <v>1</v>
      </c>
      <c r="R61" s="55">
        <v>1</v>
      </c>
      <c r="S61" s="55">
        <v>1</v>
      </c>
    </row>
    <row r="62" spans="1:20" x14ac:dyDescent="0.25">
      <c r="A62" s="52" t="s">
        <v>69</v>
      </c>
      <c r="B62" s="52" t="str">
        <f t="shared" si="0"/>
        <v>Retención</v>
      </c>
      <c r="C62" s="52" t="s">
        <v>119</v>
      </c>
      <c r="D62" s="52" t="s">
        <v>123</v>
      </c>
      <c r="E62" s="55">
        <v>1</v>
      </c>
      <c r="F62" s="55">
        <v>1</v>
      </c>
      <c r="G62" s="55">
        <v>1</v>
      </c>
      <c r="H62" s="55">
        <v>1</v>
      </c>
      <c r="I62" s="54">
        <v>1</v>
      </c>
      <c r="J62" s="56">
        <v>1</v>
      </c>
      <c r="K62" s="56">
        <v>1</v>
      </c>
      <c r="L62" s="56">
        <v>3</v>
      </c>
      <c r="M62" s="58"/>
      <c r="N62" s="102"/>
      <c r="O62" s="54">
        <v>1</v>
      </c>
      <c r="P62" s="55">
        <v>1</v>
      </c>
      <c r="Q62" s="55">
        <v>1</v>
      </c>
      <c r="R62" s="55">
        <v>1</v>
      </c>
      <c r="S62" s="55">
        <v>1</v>
      </c>
    </row>
    <row r="63" spans="1:20" x14ac:dyDescent="0.25">
      <c r="A63" s="52" t="s">
        <v>70</v>
      </c>
      <c r="B63" s="52" t="str">
        <f t="shared" si="0"/>
        <v>Retención</v>
      </c>
      <c r="C63" s="52" t="s">
        <v>119</v>
      </c>
      <c r="D63" s="52" t="s">
        <v>125</v>
      </c>
      <c r="E63" s="55">
        <v>1</v>
      </c>
      <c r="F63" s="55">
        <v>1</v>
      </c>
      <c r="G63" s="55">
        <v>1</v>
      </c>
      <c r="H63" s="55">
        <v>1</v>
      </c>
      <c r="I63" s="54">
        <v>1</v>
      </c>
      <c r="J63" s="56">
        <v>1</v>
      </c>
      <c r="K63" s="56">
        <v>1</v>
      </c>
      <c r="L63" s="56">
        <v>3</v>
      </c>
      <c r="M63" s="58"/>
      <c r="N63" s="102"/>
      <c r="O63" s="54">
        <v>1</v>
      </c>
      <c r="P63" s="55">
        <v>1</v>
      </c>
      <c r="Q63" s="55">
        <v>1</v>
      </c>
      <c r="R63" s="55">
        <v>1</v>
      </c>
      <c r="S63" s="55">
        <v>1</v>
      </c>
      <c r="T63" s="121">
        <v>1</v>
      </c>
    </row>
    <row r="64" spans="1:20" x14ac:dyDescent="0.25">
      <c r="A64" s="52" t="s">
        <v>71</v>
      </c>
      <c r="B64" s="52" t="str">
        <f t="shared" si="0"/>
        <v>Suspensión</v>
      </c>
      <c r="C64" s="52" t="s">
        <v>126</v>
      </c>
      <c r="D64" s="52" t="s">
        <v>124</v>
      </c>
      <c r="E64" s="55">
        <v>1</v>
      </c>
      <c r="F64" s="55">
        <v>1</v>
      </c>
      <c r="G64" s="55">
        <v>1</v>
      </c>
      <c r="H64" s="55">
        <v>1</v>
      </c>
      <c r="I64" s="54">
        <v>1</v>
      </c>
      <c r="J64" s="56"/>
      <c r="K64" s="56">
        <v>1</v>
      </c>
      <c r="L64" s="56">
        <v>3</v>
      </c>
      <c r="M64" s="58"/>
      <c r="N64" s="102"/>
      <c r="O64" s="54">
        <v>1</v>
      </c>
      <c r="P64" s="55">
        <v>1</v>
      </c>
      <c r="Q64" s="55">
        <v>1</v>
      </c>
      <c r="R64" s="55">
        <v>1</v>
      </c>
      <c r="S64" s="55">
        <v>1</v>
      </c>
      <c r="T64" s="139">
        <v>1</v>
      </c>
    </row>
    <row r="65" spans="1:20" x14ac:dyDescent="0.25">
      <c r="A65" s="52" t="s">
        <v>72</v>
      </c>
      <c r="B65" s="52" t="str">
        <f t="shared" si="0"/>
        <v>Suspensión</v>
      </c>
      <c r="C65" s="52" t="s">
        <v>127</v>
      </c>
      <c r="D65" s="52" t="s">
        <v>128</v>
      </c>
      <c r="E65" s="55">
        <v>1</v>
      </c>
      <c r="F65" s="55">
        <v>1</v>
      </c>
      <c r="G65" s="55">
        <v>1</v>
      </c>
      <c r="H65" s="55">
        <v>1</v>
      </c>
      <c r="I65" s="54">
        <v>1</v>
      </c>
      <c r="J65" s="56"/>
      <c r="K65" s="56">
        <v>1</v>
      </c>
      <c r="L65" s="56">
        <v>3</v>
      </c>
      <c r="M65" s="58"/>
      <c r="N65" s="102"/>
      <c r="O65" s="128">
        <v>1</v>
      </c>
      <c r="P65" s="55">
        <v>1</v>
      </c>
      <c r="Q65" s="55">
        <v>1</v>
      </c>
      <c r="R65" s="55">
        <v>1</v>
      </c>
      <c r="S65" s="55">
        <v>1</v>
      </c>
    </row>
    <row r="66" spans="1:20" x14ac:dyDescent="0.25">
      <c r="A66" s="52" t="s">
        <v>73</v>
      </c>
      <c r="B66" s="52" t="str">
        <f t="shared" si="0"/>
        <v>Retención</v>
      </c>
      <c r="C66" s="52" t="s">
        <v>119</v>
      </c>
      <c r="D66" s="52" t="s">
        <v>121</v>
      </c>
      <c r="E66" s="55">
        <v>1</v>
      </c>
      <c r="F66" s="55">
        <v>1</v>
      </c>
      <c r="G66" s="55">
        <v>1</v>
      </c>
      <c r="H66" s="55">
        <v>1</v>
      </c>
      <c r="I66" s="54">
        <v>1</v>
      </c>
      <c r="J66" s="56"/>
      <c r="K66" s="53"/>
      <c r="L66" s="56">
        <v>3</v>
      </c>
      <c r="M66" s="58"/>
      <c r="N66" s="102"/>
      <c r="O66" s="128">
        <v>1</v>
      </c>
      <c r="P66" s="55">
        <v>1</v>
      </c>
      <c r="Q66" s="55">
        <v>1</v>
      </c>
      <c r="R66" s="55">
        <v>1</v>
      </c>
      <c r="S66" s="55">
        <v>1</v>
      </c>
    </row>
    <row r="67" spans="1:20" x14ac:dyDescent="0.25">
      <c r="A67" s="52" t="s">
        <v>74</v>
      </c>
      <c r="B67" s="52" t="str">
        <f t="shared" si="0"/>
        <v>Retención</v>
      </c>
      <c r="C67" s="52" t="s">
        <v>129</v>
      </c>
      <c r="D67" s="52" t="s">
        <v>128</v>
      </c>
      <c r="E67" s="55">
        <v>1</v>
      </c>
      <c r="F67" s="55">
        <v>1</v>
      </c>
      <c r="G67" s="55">
        <v>1</v>
      </c>
      <c r="H67" s="55">
        <v>1</v>
      </c>
      <c r="I67" s="54">
        <v>1</v>
      </c>
      <c r="J67" s="56">
        <v>1</v>
      </c>
      <c r="K67" s="56"/>
      <c r="L67" s="56">
        <v>3</v>
      </c>
      <c r="M67" s="58"/>
      <c r="N67" s="102"/>
      <c r="O67" s="54">
        <v>1</v>
      </c>
      <c r="P67" s="55">
        <v>1</v>
      </c>
      <c r="Q67" s="55">
        <v>1</v>
      </c>
      <c r="R67" s="55">
        <v>1</v>
      </c>
      <c r="S67" s="55">
        <v>1</v>
      </c>
    </row>
    <row r="68" spans="1:20" x14ac:dyDescent="0.25">
      <c r="A68" s="52" t="s">
        <v>75</v>
      </c>
      <c r="B68" s="52" t="str">
        <f t="shared" si="0"/>
        <v>Retención</v>
      </c>
      <c r="C68" s="52" t="s">
        <v>129</v>
      </c>
      <c r="D68" s="52" t="s">
        <v>128</v>
      </c>
      <c r="E68" s="55">
        <v>1</v>
      </c>
      <c r="F68" s="55">
        <v>1</v>
      </c>
      <c r="G68" s="55">
        <v>1</v>
      </c>
      <c r="H68" s="55">
        <v>1</v>
      </c>
      <c r="I68" s="54">
        <v>1</v>
      </c>
      <c r="J68" s="56">
        <v>1</v>
      </c>
      <c r="K68" s="56"/>
      <c r="L68" s="56">
        <v>3</v>
      </c>
      <c r="M68" s="58"/>
      <c r="N68" s="102"/>
      <c r="O68" s="54">
        <v>1</v>
      </c>
      <c r="P68" s="55">
        <v>1</v>
      </c>
      <c r="Q68" s="55">
        <v>1</v>
      </c>
      <c r="R68" s="55">
        <v>1</v>
      </c>
      <c r="S68" s="55">
        <v>1</v>
      </c>
    </row>
    <row r="69" spans="1:20" x14ac:dyDescent="0.25">
      <c r="A69" s="52" t="s">
        <v>76</v>
      </c>
      <c r="B69" s="52" t="str">
        <f t="shared" si="0"/>
        <v>Retención</v>
      </c>
      <c r="C69" s="52" t="s">
        <v>117</v>
      </c>
      <c r="D69" s="52" t="s">
        <v>120</v>
      </c>
      <c r="E69" s="55">
        <v>1</v>
      </c>
      <c r="F69" s="55">
        <v>1</v>
      </c>
      <c r="G69" s="55">
        <v>1</v>
      </c>
      <c r="H69" s="55">
        <v>1</v>
      </c>
      <c r="I69" s="54">
        <v>1</v>
      </c>
      <c r="J69" s="56">
        <v>1</v>
      </c>
      <c r="K69" s="53"/>
      <c r="L69" s="56">
        <v>3</v>
      </c>
      <c r="M69" s="58"/>
      <c r="N69" s="102"/>
      <c r="O69" s="54">
        <v>1</v>
      </c>
      <c r="P69" s="55">
        <v>1</v>
      </c>
      <c r="Q69" s="55">
        <v>1</v>
      </c>
      <c r="R69" s="55">
        <v>1</v>
      </c>
      <c r="S69" s="55">
        <v>1</v>
      </c>
    </row>
    <row r="70" spans="1:20" x14ac:dyDescent="0.25">
      <c r="A70" s="52" t="s">
        <v>130</v>
      </c>
      <c r="B70" s="52" t="str">
        <f>+IF(OR(C70="A",C70="A especial"),"Suspensión","Retención")</f>
        <v>Retención</v>
      </c>
      <c r="C70" s="52" t="s">
        <v>131</v>
      </c>
      <c r="D70" s="52"/>
      <c r="E70" s="55">
        <v>1</v>
      </c>
      <c r="F70" s="56">
        <v>1</v>
      </c>
      <c r="G70" s="55">
        <v>1</v>
      </c>
      <c r="H70" s="55">
        <v>1</v>
      </c>
      <c r="I70" s="54">
        <v>1</v>
      </c>
      <c r="J70" s="56">
        <v>1</v>
      </c>
      <c r="K70" s="53"/>
      <c r="L70" s="56">
        <v>3</v>
      </c>
      <c r="M70" s="58"/>
      <c r="O70" s="54">
        <v>1</v>
      </c>
      <c r="P70" s="55">
        <v>1</v>
      </c>
      <c r="Q70" s="55">
        <v>1</v>
      </c>
      <c r="R70" s="55">
        <v>1</v>
      </c>
      <c r="S70" s="55">
        <v>1</v>
      </c>
      <c r="T70" s="139">
        <v>1</v>
      </c>
    </row>
    <row r="71" spans="1:20" ht="15.75" thickBot="1" x14ac:dyDescent="0.3">
      <c r="D71" s="59" t="s">
        <v>132</v>
      </c>
      <c r="E71" s="110">
        <f t="shared" ref="E71:I71" si="2">SUM(E4:E70)</f>
        <v>65</v>
      </c>
      <c r="F71" s="60">
        <f t="shared" si="2"/>
        <v>65</v>
      </c>
      <c r="G71" s="110">
        <f t="shared" si="2"/>
        <v>65</v>
      </c>
      <c r="H71" s="110">
        <f t="shared" si="2"/>
        <v>65</v>
      </c>
      <c r="I71" s="123">
        <f t="shared" si="2"/>
        <v>65</v>
      </c>
      <c r="J71" s="61"/>
      <c r="K71" s="61"/>
      <c r="L71" s="61">
        <f>SUM(L4:L70)</f>
        <v>201</v>
      </c>
      <c r="M71" s="57">
        <f>SUM(M4:M69)</f>
        <v>0</v>
      </c>
      <c r="O71" s="108"/>
      <c r="P71" s="107"/>
    </row>
    <row r="75" spans="1:20" x14ac:dyDescent="0.25">
      <c r="E75" s="31" t="s">
        <v>188</v>
      </c>
    </row>
  </sheetData>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68639-609C-4DB4-9EC3-F158EC777F4C}">
  <dimension ref="A1:N17"/>
  <sheetViews>
    <sheetView topLeftCell="A2" zoomScale="110" zoomScaleNormal="110" workbookViewId="0">
      <selection activeCell="J5" sqref="J5:J8"/>
    </sheetView>
  </sheetViews>
  <sheetFormatPr baseColWidth="10" defaultRowHeight="15" x14ac:dyDescent="0.25"/>
  <cols>
    <col min="5" max="5" width="12.7109375" customWidth="1"/>
    <col min="6" max="6" width="16" customWidth="1"/>
    <col min="7" max="7" width="17" customWidth="1"/>
    <col min="14" max="14" width="11.5703125" style="64"/>
  </cols>
  <sheetData>
    <row r="1" spans="1:14" x14ac:dyDescent="0.25">
      <c r="A1" s="366" t="s">
        <v>160</v>
      </c>
      <c r="B1" s="367"/>
      <c r="C1" s="367"/>
      <c r="D1" s="367"/>
      <c r="E1" s="368"/>
      <c r="F1" s="134" t="s">
        <v>184</v>
      </c>
      <c r="G1" s="135"/>
      <c r="H1" s="135"/>
      <c r="I1" s="135"/>
      <c r="J1" s="135"/>
      <c r="K1" s="135"/>
      <c r="L1" s="136"/>
    </row>
    <row r="2" spans="1:14" ht="90" x14ac:dyDescent="0.25">
      <c r="A2" s="129" t="s">
        <v>161</v>
      </c>
      <c r="B2" s="130" t="s">
        <v>162</v>
      </c>
      <c r="C2" s="130" t="s">
        <v>163</v>
      </c>
      <c r="D2" s="130" t="s">
        <v>164</v>
      </c>
      <c r="E2" s="129" t="s">
        <v>165</v>
      </c>
      <c r="F2" s="133" t="s">
        <v>166</v>
      </c>
      <c r="G2" s="133" t="s">
        <v>167</v>
      </c>
      <c r="H2" s="133" t="s">
        <v>168</v>
      </c>
      <c r="I2" s="133" t="s">
        <v>185</v>
      </c>
      <c r="J2" s="133" t="s">
        <v>375</v>
      </c>
      <c r="K2" s="133" t="s">
        <v>169</v>
      </c>
      <c r="L2" s="145" t="s">
        <v>170</v>
      </c>
      <c r="M2" s="133" t="s">
        <v>147</v>
      </c>
      <c r="N2" s="133" t="s">
        <v>198</v>
      </c>
    </row>
    <row r="3" spans="1:14" x14ac:dyDescent="0.25">
      <c r="A3" s="140" t="s">
        <v>171</v>
      </c>
      <c r="B3" s="55" t="s">
        <v>172</v>
      </c>
      <c r="C3" s="55"/>
      <c r="D3" s="55">
        <v>15</v>
      </c>
      <c r="E3" s="54"/>
      <c r="F3" s="54"/>
      <c r="G3" s="54"/>
      <c r="H3" s="54"/>
      <c r="I3" s="56"/>
      <c r="J3" s="56"/>
      <c r="K3" s="56"/>
      <c r="L3" s="120"/>
      <c r="M3" s="56" t="s">
        <v>151</v>
      </c>
      <c r="N3" s="54">
        <v>1</v>
      </c>
    </row>
    <row r="4" spans="1:14" x14ac:dyDescent="0.25">
      <c r="A4" s="140" t="s">
        <v>173</v>
      </c>
      <c r="B4" s="55" t="s">
        <v>172</v>
      </c>
      <c r="C4" s="55"/>
      <c r="D4" s="55">
        <v>14</v>
      </c>
      <c r="E4" s="54"/>
      <c r="F4" s="54"/>
      <c r="G4" s="54"/>
      <c r="H4" s="54"/>
      <c r="I4" s="56"/>
      <c r="J4" s="56"/>
      <c r="K4" s="56"/>
      <c r="L4" s="120"/>
      <c r="M4" s="56" t="s">
        <v>149</v>
      </c>
      <c r="N4" s="54">
        <v>1</v>
      </c>
    </row>
    <row r="5" spans="1:14" ht="45" x14ac:dyDescent="0.25">
      <c r="A5" s="140" t="s">
        <v>174</v>
      </c>
      <c r="B5" s="144" t="s">
        <v>175</v>
      </c>
      <c r="C5" s="29">
        <v>27.5</v>
      </c>
      <c r="D5" s="55">
        <v>10</v>
      </c>
      <c r="E5" s="147" t="s">
        <v>176</v>
      </c>
      <c r="F5" s="54">
        <v>33</v>
      </c>
      <c r="G5" s="54">
        <v>30</v>
      </c>
      <c r="H5" s="54">
        <v>50</v>
      </c>
      <c r="I5" s="54">
        <v>30</v>
      </c>
      <c r="J5" s="56">
        <v>47.519999999999996</v>
      </c>
      <c r="K5" s="56">
        <v>142.56</v>
      </c>
      <c r="L5" s="120">
        <v>190.07999999999998</v>
      </c>
      <c r="M5" s="56" t="s">
        <v>201</v>
      </c>
      <c r="N5" s="54">
        <v>1</v>
      </c>
    </row>
    <row r="6" spans="1:14" x14ac:dyDescent="0.25">
      <c r="A6" s="140" t="s">
        <v>177</v>
      </c>
      <c r="B6" s="55"/>
      <c r="C6" s="55"/>
      <c r="D6" s="55">
        <v>20</v>
      </c>
      <c r="E6" s="54"/>
      <c r="F6" s="54"/>
      <c r="G6" s="54"/>
      <c r="H6" s="54"/>
      <c r="I6" s="56"/>
      <c r="J6" s="56"/>
      <c r="K6" s="56"/>
      <c r="L6" s="120"/>
      <c r="M6" s="56" t="s">
        <v>151</v>
      </c>
      <c r="N6" s="54">
        <v>1</v>
      </c>
    </row>
    <row r="7" spans="1:14" ht="45" x14ac:dyDescent="0.25">
      <c r="A7" s="140" t="s">
        <v>178</v>
      </c>
      <c r="B7" s="55"/>
      <c r="C7" s="55">
        <v>10</v>
      </c>
      <c r="D7" s="55">
        <v>21</v>
      </c>
      <c r="E7" s="147" t="s">
        <v>176</v>
      </c>
      <c r="F7" s="54">
        <v>12</v>
      </c>
      <c r="G7" s="54">
        <v>11</v>
      </c>
      <c r="H7" s="54">
        <v>10</v>
      </c>
      <c r="I7" s="54">
        <v>12</v>
      </c>
      <c r="J7" s="56">
        <v>17.28</v>
      </c>
      <c r="K7" s="56">
        <v>51.84</v>
      </c>
      <c r="L7" s="120">
        <v>69.12</v>
      </c>
      <c r="M7" s="56" t="s">
        <v>157</v>
      </c>
      <c r="N7" s="54">
        <v>1</v>
      </c>
    </row>
    <row r="8" spans="1:14" x14ac:dyDescent="0.25">
      <c r="A8" s="140" t="s">
        <v>179</v>
      </c>
      <c r="B8" s="55"/>
      <c r="C8" s="55"/>
      <c r="D8" s="55">
        <v>20</v>
      </c>
      <c r="E8" s="54"/>
      <c r="F8" s="54"/>
      <c r="G8" s="54"/>
      <c r="H8" s="54"/>
      <c r="I8" s="56"/>
      <c r="J8" s="56"/>
      <c r="K8" s="56"/>
      <c r="L8" s="120"/>
      <c r="M8" s="56" t="s">
        <v>151</v>
      </c>
      <c r="N8" s="54">
        <v>1</v>
      </c>
    </row>
    <row r="9" spans="1:14" ht="31.9" customHeight="1" x14ac:dyDescent="0.25">
      <c r="A9" s="140" t="s">
        <v>180</v>
      </c>
      <c r="B9" s="144" t="s">
        <v>175</v>
      </c>
      <c r="C9" s="55">
        <v>10</v>
      </c>
      <c r="D9" s="55">
        <v>25</v>
      </c>
      <c r="E9" s="54"/>
      <c r="F9" s="54">
        <v>12</v>
      </c>
      <c r="G9" s="54">
        <v>11</v>
      </c>
      <c r="H9" s="54">
        <v>10</v>
      </c>
      <c r="I9" s="54">
        <v>12</v>
      </c>
      <c r="J9" s="56">
        <v>17.28</v>
      </c>
      <c r="K9" s="56">
        <v>51.84</v>
      </c>
      <c r="L9" s="120">
        <v>69.12</v>
      </c>
      <c r="M9" s="56" t="s">
        <v>151</v>
      </c>
      <c r="N9" s="54">
        <v>1</v>
      </c>
    </row>
    <row r="10" spans="1:14" ht="27" customHeight="1" x14ac:dyDescent="0.25">
      <c r="A10" s="140" t="s">
        <v>181</v>
      </c>
      <c r="B10" s="144" t="s">
        <v>175</v>
      </c>
      <c r="C10" s="55">
        <v>5</v>
      </c>
      <c r="D10" s="55">
        <v>10</v>
      </c>
      <c r="E10" s="54"/>
      <c r="F10" s="54">
        <v>5</v>
      </c>
      <c r="G10" s="54">
        <v>6</v>
      </c>
      <c r="H10" s="54">
        <v>2</v>
      </c>
      <c r="I10" s="54">
        <v>7</v>
      </c>
      <c r="J10" s="56">
        <v>7.1999999999999993</v>
      </c>
      <c r="K10" s="56">
        <v>21.599999999999998</v>
      </c>
      <c r="L10" s="120">
        <v>28.799999999999997</v>
      </c>
      <c r="M10" s="56" t="s">
        <v>149</v>
      </c>
      <c r="N10" s="54">
        <v>1</v>
      </c>
    </row>
    <row r="11" spans="1:14" ht="29.45" customHeight="1" x14ac:dyDescent="0.25">
      <c r="A11" s="140" t="s">
        <v>182</v>
      </c>
      <c r="B11" s="144" t="s">
        <v>175</v>
      </c>
      <c r="C11" s="55">
        <v>10</v>
      </c>
      <c r="D11" s="55">
        <v>50</v>
      </c>
      <c r="E11" s="54"/>
      <c r="F11" s="54">
        <v>12</v>
      </c>
      <c r="G11" s="54">
        <v>11</v>
      </c>
      <c r="H11" s="54">
        <v>10</v>
      </c>
      <c r="I11" s="54">
        <v>12</v>
      </c>
      <c r="J11" s="56">
        <v>17.28</v>
      </c>
      <c r="K11" s="56">
        <v>51.84</v>
      </c>
      <c r="L11" s="120">
        <v>69.12</v>
      </c>
      <c r="M11" s="56" t="s">
        <v>157</v>
      </c>
      <c r="N11" s="54">
        <v>1</v>
      </c>
    </row>
    <row r="12" spans="1:14" ht="45" x14ac:dyDescent="0.25">
      <c r="A12" s="140" t="s">
        <v>183</v>
      </c>
      <c r="B12" s="144" t="s">
        <v>175</v>
      </c>
      <c r="C12" s="55">
        <v>11</v>
      </c>
      <c r="D12" s="55">
        <v>23</v>
      </c>
      <c r="E12" s="147" t="s">
        <v>176</v>
      </c>
      <c r="F12" s="54">
        <v>13</v>
      </c>
      <c r="G12" s="54">
        <v>12</v>
      </c>
      <c r="H12" s="54">
        <v>10</v>
      </c>
      <c r="I12" s="54">
        <v>13</v>
      </c>
      <c r="J12" s="56">
        <v>18.72</v>
      </c>
      <c r="K12" s="56">
        <v>56.16</v>
      </c>
      <c r="L12" s="120">
        <v>74.88</v>
      </c>
      <c r="M12" s="56" t="s">
        <v>149</v>
      </c>
      <c r="N12" s="54">
        <v>1</v>
      </c>
    </row>
    <row r="13" spans="1:14" x14ac:dyDescent="0.25">
      <c r="A13" s="140" t="s">
        <v>202</v>
      </c>
      <c r="B13" s="144"/>
      <c r="C13" s="55"/>
      <c r="D13" s="55"/>
      <c r="E13" s="147"/>
      <c r="F13" s="54"/>
      <c r="G13" s="54"/>
      <c r="H13" s="54"/>
      <c r="I13" s="54"/>
      <c r="J13" s="56"/>
      <c r="K13" s="56"/>
      <c r="L13" s="120"/>
      <c r="M13" s="56" t="s">
        <v>201</v>
      </c>
      <c r="N13" s="54">
        <v>1</v>
      </c>
    </row>
    <row r="14" spans="1:14" x14ac:dyDescent="0.25">
      <c r="A14" s="140" t="s">
        <v>203</v>
      </c>
      <c r="B14" s="144" t="s">
        <v>172</v>
      </c>
      <c r="C14" s="55">
        <v>30</v>
      </c>
      <c r="D14" s="55"/>
      <c r="E14" s="147"/>
      <c r="F14" s="54"/>
      <c r="G14" s="54"/>
      <c r="H14" s="54"/>
      <c r="I14" s="54"/>
      <c r="J14" s="56"/>
      <c r="K14" s="56"/>
      <c r="L14" s="120"/>
      <c r="M14" s="56" t="s">
        <v>149</v>
      </c>
      <c r="N14" s="54">
        <v>1</v>
      </c>
    </row>
    <row r="15" spans="1:14" x14ac:dyDescent="0.25">
      <c r="A15" s="55" t="s">
        <v>200</v>
      </c>
      <c r="B15" s="55"/>
      <c r="C15" s="55"/>
      <c r="D15" s="55"/>
      <c r="E15" s="54"/>
      <c r="F15" s="54"/>
      <c r="G15" s="54"/>
      <c r="H15" s="54"/>
      <c r="I15" s="56">
        <v>86</v>
      </c>
      <c r="J15" s="56"/>
      <c r="K15" s="56"/>
      <c r="L15" s="120"/>
      <c r="M15" s="56" t="s">
        <v>201</v>
      </c>
      <c r="N15" s="54">
        <v>1</v>
      </c>
    </row>
    <row r="16" spans="1:14" x14ac:dyDescent="0.25">
      <c r="A16" s="1" t="s">
        <v>132</v>
      </c>
      <c r="B16" s="2"/>
      <c r="C16" s="2"/>
      <c r="D16" s="2"/>
      <c r="E16" s="17"/>
      <c r="F16" s="131">
        <v>87</v>
      </c>
      <c r="G16" s="131">
        <v>81</v>
      </c>
      <c r="H16" s="131">
        <v>92</v>
      </c>
      <c r="I16" s="132">
        <v>43</v>
      </c>
      <c r="J16" s="132">
        <v>126</v>
      </c>
      <c r="K16" s="132">
        <v>378</v>
      </c>
      <c r="L16" s="146">
        <v>504</v>
      </c>
      <c r="M16" s="1"/>
      <c r="N16" s="17"/>
    </row>
    <row r="17" spans="13:14" x14ac:dyDescent="0.25">
      <c r="M17" s="1"/>
      <c r="N17" s="17"/>
    </row>
  </sheetData>
  <mergeCells count="1">
    <mergeCell ref="A1:E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CANT OOCC</vt:lpstr>
      <vt:lpstr>OOCC</vt:lpstr>
      <vt:lpstr>CANT MONTAJE</vt:lpstr>
      <vt:lpstr>MONTAJE</vt:lpstr>
      <vt:lpstr> SPT y Pintura</vt:lpstr>
      <vt:lpstr>CANT TENDIDO</vt:lpstr>
      <vt:lpstr>Trinchos y cunetas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 GIOVANNI ACEVEDO CARDONA</dc:creator>
  <cp:lastModifiedBy>Ana Sofía  Múnera Carmona</cp:lastModifiedBy>
  <dcterms:created xsi:type="dcterms:W3CDTF">2025-02-24T15:43:36Z</dcterms:created>
  <dcterms:modified xsi:type="dcterms:W3CDTF">2026-05-23T14:26:07Z</dcterms:modified>
</cp:coreProperties>
</file>