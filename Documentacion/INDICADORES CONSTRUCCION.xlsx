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anaso\Downloads\"/>
    </mc:Choice>
  </mc:AlternateContent>
  <xr:revisionPtr revIDLastSave="0" documentId="13_ncr:1_{6FDA9434-36E2-4D0A-9DE5-4578AF386DEF}" xr6:coauthVersionLast="47" xr6:coauthVersionMax="47" xr10:uidLastSave="{00000000-0000-0000-0000-000000000000}"/>
  <bookViews>
    <workbookView xWindow="-120" yWindow="-120" windowWidth="20730" windowHeight="11040" tabRatio="870" firstSheet="2" activeTab="2" xr2:uid="{00000000-000D-0000-FFFF-FFFF00000000}"/>
  </bookViews>
  <sheets>
    <sheet name="Datos" sheetId="8" r:id="rId1"/>
    <sheet name="FDC" sheetId="9" r:id="rId2"/>
    <sheet name="Hoja1" sheetId="10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26" i="8" l="1"/>
  <c r="M145" i="8"/>
  <c r="M146" i="8" s="1"/>
  <c r="M129" i="8" s="1"/>
  <c r="M143" i="8"/>
  <c r="M140" i="8"/>
  <c r="L129" i="8" s="1"/>
  <c r="M139" i="8"/>
  <c r="M137" i="8"/>
  <c r="L141" i="8"/>
  <c r="L143" i="8" s="1"/>
  <c r="L145" i="8" s="1"/>
  <c r="L146" i="8" s="1"/>
  <c r="M83" i="8"/>
  <c r="E45" i="8"/>
  <c r="R5" i="9"/>
  <c r="S5" i="9" s="1"/>
  <c r="Q5" i="9"/>
  <c r="R14" i="9"/>
  <c r="Q10" i="9"/>
  <c r="Q11" i="9"/>
  <c r="R11" i="9" s="1"/>
  <c r="Q12" i="9"/>
  <c r="Q13" i="9"/>
  <c r="R13" i="9" s="1"/>
  <c r="Q14" i="9"/>
  <c r="Q15" i="9"/>
  <c r="Q16" i="9"/>
  <c r="R16" i="9" s="1"/>
  <c r="Q17" i="9"/>
  <c r="R17" i="9" s="1"/>
  <c r="Q18" i="9"/>
  <c r="Q19" i="9"/>
  <c r="R19" i="9" s="1"/>
  <c r="Q20" i="9"/>
  <c r="Q21" i="9"/>
  <c r="R21" i="9" s="1"/>
  <c r="Q22" i="9"/>
  <c r="Q23" i="9"/>
  <c r="Q24" i="9"/>
  <c r="R10" i="9" s="1"/>
  <c r="Q8" i="9"/>
  <c r="R8" i="9" s="1"/>
  <c r="N44" i="9"/>
  <c r="P40" i="9"/>
  <c r="N40" i="9"/>
  <c r="M37" i="9"/>
  <c r="K37" i="9"/>
  <c r="I37" i="9"/>
  <c r="M35" i="9"/>
  <c r="L35" i="9"/>
  <c r="L37" i="9" s="1"/>
  <c r="L42" i="9" s="1"/>
  <c r="K35" i="9"/>
  <c r="J35" i="9"/>
  <c r="J37" i="9" s="1"/>
  <c r="I35" i="9"/>
  <c r="H35" i="9"/>
  <c r="H37" i="9" s="1"/>
  <c r="B35" i="9"/>
  <c r="B37" i="9" s="1"/>
  <c r="P34" i="9"/>
  <c r="C35" i="9"/>
  <c r="C37" i="9" s="1"/>
  <c r="N34" i="9"/>
  <c r="P33" i="9"/>
  <c r="D35" i="9"/>
  <c r="D37" i="9" s="1"/>
  <c r="N33" i="9"/>
  <c r="P32" i="9"/>
  <c r="G35" i="9"/>
  <c r="G37" i="9" s="1"/>
  <c r="F35" i="9"/>
  <c r="E35" i="9"/>
  <c r="E37" i="9" s="1"/>
  <c r="N32" i="9"/>
  <c r="P29" i="9"/>
  <c r="L26" i="9"/>
  <c r="I26" i="9"/>
  <c r="M24" i="9"/>
  <c r="L24" i="9"/>
  <c r="K24" i="9"/>
  <c r="J24" i="9"/>
  <c r="P24" i="9" s="1"/>
  <c r="I24" i="9"/>
  <c r="H24" i="9"/>
  <c r="N23" i="9"/>
  <c r="N22" i="9"/>
  <c r="P21" i="9"/>
  <c r="N21" i="9"/>
  <c r="P20" i="9"/>
  <c r="N20" i="9"/>
  <c r="P19" i="9"/>
  <c r="N19" i="9"/>
  <c r="P18" i="9"/>
  <c r="N18" i="9"/>
  <c r="P17" i="9"/>
  <c r="N17" i="9"/>
  <c r="P16" i="9"/>
  <c r="N16" i="9"/>
  <c r="P15" i="9"/>
  <c r="N15" i="9"/>
  <c r="P14" i="9"/>
  <c r="N14" i="9"/>
  <c r="P13" i="9"/>
  <c r="N13" i="9"/>
  <c r="P12" i="9"/>
  <c r="N12" i="9"/>
  <c r="P11" i="9"/>
  <c r="N11" i="9"/>
  <c r="P10" i="9"/>
  <c r="N10" i="9"/>
  <c r="N9" i="9"/>
  <c r="P8" i="9"/>
  <c r="N8" i="9"/>
  <c r="G24" i="9"/>
  <c r="F24" i="9"/>
  <c r="E24" i="9"/>
  <c r="D24" i="9"/>
  <c r="C24" i="9"/>
  <c r="B24" i="9"/>
  <c r="M5" i="9"/>
  <c r="M26" i="9" s="1"/>
  <c r="L5" i="9"/>
  <c r="K5" i="9"/>
  <c r="K26" i="9" s="1"/>
  <c r="J5" i="9"/>
  <c r="I5" i="9"/>
  <c r="H5" i="9"/>
  <c r="H26" i="9" s="1"/>
  <c r="G5" i="9"/>
  <c r="B5" i="9"/>
  <c r="B26" i="9" s="1"/>
  <c r="P4" i="9"/>
  <c r="N4" i="9"/>
  <c r="N3" i="9"/>
  <c r="P2" i="9"/>
  <c r="F5" i="9"/>
  <c r="F26" i="9" s="1"/>
  <c r="E5" i="9"/>
  <c r="D5" i="9"/>
  <c r="C5" i="9"/>
  <c r="C26" i="9" s="1"/>
  <c r="N2" i="9"/>
  <c r="M42" i="9" l="1"/>
  <c r="R9" i="9"/>
  <c r="I42" i="9"/>
  <c r="R24" i="9"/>
  <c r="J26" i="9"/>
  <c r="P26" i="9" s="1"/>
  <c r="R23" i="9"/>
  <c r="R12" i="9"/>
  <c r="R15" i="9"/>
  <c r="R22" i="9"/>
  <c r="R20" i="9"/>
  <c r="R18" i="9"/>
  <c r="N129" i="8"/>
  <c r="N35" i="9"/>
  <c r="J42" i="9"/>
  <c r="P37" i="9"/>
  <c r="D26" i="9"/>
  <c r="D42" i="9" s="1"/>
  <c r="E26" i="9"/>
  <c r="E42" i="9" s="1"/>
  <c r="B42" i="9"/>
  <c r="N37" i="9"/>
  <c r="O37" i="9" s="1"/>
  <c r="G26" i="9"/>
  <c r="G42" i="9" s="1"/>
  <c r="F37" i="9"/>
  <c r="F42" i="9" s="1"/>
  <c r="K42" i="9"/>
  <c r="H42" i="9"/>
  <c r="N5" i="9"/>
  <c r="C42" i="9"/>
  <c r="N29" i="9"/>
  <c r="N24" i="9"/>
  <c r="P5" i="9"/>
  <c r="P35" i="9"/>
  <c r="O32" i="9" l="1"/>
  <c r="N26" i="9"/>
  <c r="O2" i="9"/>
  <c r="O15" i="9"/>
  <c r="O4" i="9"/>
  <c r="O13" i="9"/>
  <c r="O10" i="9"/>
  <c r="O34" i="9"/>
  <c r="O21" i="9"/>
  <c r="O24" i="9"/>
  <c r="O14" i="9"/>
  <c r="O29" i="9"/>
  <c r="O20" i="9"/>
  <c r="O3" i="9"/>
  <c r="O11" i="9"/>
  <c r="O33" i="9"/>
  <c r="O23" i="9"/>
  <c r="O40" i="9"/>
  <c r="O19" i="9"/>
  <c r="O16" i="9"/>
  <c r="O17" i="9"/>
  <c r="B45" i="9"/>
  <c r="C44" i="9" s="1"/>
  <c r="C45" i="9" s="1"/>
  <c r="D44" i="9" s="1"/>
  <c r="D45" i="9" s="1"/>
  <c r="E44" i="9" s="1"/>
  <c r="E45" i="9" s="1"/>
  <c r="F44" i="9" s="1"/>
  <c r="F45" i="9" s="1"/>
  <c r="G44" i="9" s="1"/>
  <c r="G45" i="9" s="1"/>
  <c r="H44" i="9" s="1"/>
  <c r="H45" i="9" s="1"/>
  <c r="I44" i="9" s="1"/>
  <c r="I45" i="9" s="1"/>
  <c r="J44" i="9" s="1"/>
  <c r="J45" i="9" s="1"/>
  <c r="N42" i="9"/>
  <c r="P42" i="9"/>
  <c r="O5" i="9"/>
  <c r="O26" i="9"/>
  <c r="O12" i="9"/>
  <c r="O8" i="9"/>
  <c r="O18" i="9"/>
  <c r="O35" i="9"/>
  <c r="N45" i="9" l="1"/>
  <c r="O42" i="9"/>
  <c r="N126" i="8" l="1"/>
  <c r="P121" i="8"/>
  <c r="P122" i="8"/>
  <c r="P123" i="8"/>
  <c r="O124" i="8"/>
  <c r="P120" i="8"/>
  <c r="P124" i="8" s="1"/>
  <c r="P126" i="8" s="1"/>
  <c r="O127" i="8" l="1"/>
  <c r="L124" i="8"/>
  <c r="L127" i="8" s="1"/>
  <c r="N124" i="8"/>
  <c r="M124" i="8"/>
  <c r="M127" i="8" s="1"/>
  <c r="N125" i="8" l="1"/>
  <c r="N127" i="8"/>
  <c r="M125" i="8"/>
  <c r="L125" i="8"/>
  <c r="K81" i="8"/>
  <c r="M77" i="8"/>
  <c r="M78" i="8"/>
  <c r="M79" i="8"/>
  <c r="M76" i="8"/>
  <c r="L80" i="8"/>
  <c r="L81" i="8" s="1"/>
  <c r="K80" i="8"/>
  <c r="H43" i="8"/>
  <c r="M128" i="8" l="1"/>
  <c r="M130" i="8"/>
  <c r="M131" i="8" s="1"/>
  <c r="N128" i="8"/>
  <c r="N130" i="8"/>
  <c r="N131" i="8" s="1"/>
  <c r="L128" i="8"/>
  <c r="L130" i="8"/>
  <c r="L131" i="8" s="1"/>
  <c r="M80" i="8"/>
  <c r="M81" i="8" s="1"/>
  <c r="C45" i="8"/>
  <c r="K41" i="8"/>
  <c r="K42" i="8"/>
  <c r="K40" i="8"/>
  <c r="D49" i="8" l="1"/>
  <c r="N66" i="8"/>
  <c r="D50" i="8"/>
  <c r="D51" i="8" l="1"/>
  <c r="I44" i="8"/>
  <c r="D52" i="8"/>
  <c r="F41" i="8"/>
  <c r="F42" i="8"/>
  <c r="F43" i="8"/>
  <c r="F40" i="8"/>
  <c r="D41" i="8"/>
  <c r="D42" i="8"/>
  <c r="D46" i="8"/>
  <c r="D40" i="8"/>
  <c r="G22" i="8"/>
  <c r="F21" i="8"/>
  <c r="F17" i="8"/>
  <c r="D53" i="8" l="1"/>
  <c r="J44" i="8"/>
  <c r="K44" i="8"/>
  <c r="K43" i="8"/>
  <c r="F22" i="8"/>
  <c r="E21" i="8"/>
  <c r="E22" i="8" s="1"/>
  <c r="K45" i="8" l="1"/>
  <c r="K46" i="8"/>
  <c r="K48" i="8" l="1"/>
  <c r="K49" i="8" s="1"/>
  <c r="L46" i="8"/>
  <c r="L40" i="8"/>
  <c r="L44" i="8"/>
  <c r="L43" i="8"/>
  <c r="L45" i="8"/>
  <c r="I45" i="8"/>
  <c r="I46" i="8" s="1"/>
  <c r="I48" i="8" s="1"/>
  <c r="I49" i="8" s="1"/>
  <c r="G45" i="8"/>
  <c r="H45" i="8"/>
  <c r="H46" i="8" s="1"/>
  <c r="H48" i="8" s="1"/>
  <c r="H49" i="8" s="1"/>
  <c r="J45" i="8"/>
  <c r="J46" i="8" s="1"/>
  <c r="J48" i="8" s="1"/>
  <c r="J49" i="8" s="1"/>
  <c r="G46" i="8" l="1"/>
  <c r="G48" i="8" l="1"/>
  <c r="G49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Instelec SAS</author>
  </authors>
  <commentList>
    <comment ref="E43" authorId="0" shapeId="0" xr:uid="{D6639E16-13B3-4453-B9EE-67360CEFCD04}">
      <text>
        <r>
          <rPr>
            <b/>
            <sz val="9"/>
            <color indexed="81"/>
            <rFont val="Tahoma"/>
            <family val="2"/>
          </rPr>
          <t>Instelec SAS:</t>
        </r>
        <r>
          <rPr>
            <sz val="9"/>
            <color indexed="81"/>
            <rFont val="Tahoma"/>
            <family val="2"/>
          </rPr>
          <t xml:space="preserve">
La primera factura fue en mayo</t>
        </r>
      </text>
    </comment>
    <comment ref="P125" authorId="0" shapeId="0" xr:uid="{6CE98BA9-8FC1-42E6-A106-BD873D8F2BCE}">
      <text>
        <r>
          <rPr>
            <b/>
            <sz val="9"/>
            <color indexed="81"/>
            <rFont val="Tahoma"/>
            <family val="2"/>
          </rPr>
          <t>Instelec SAS:</t>
        </r>
        <r>
          <rPr>
            <sz val="9"/>
            <color indexed="81"/>
            <rFont val="Tahoma"/>
            <family val="2"/>
          </rPr>
          <t xml:space="preserve">
Utiliidad reportada a terceros</t>
        </r>
      </text>
    </comment>
    <comment ref="O126" authorId="0" shapeId="0" xr:uid="{CBA92B9F-2ADA-4C38-BEB9-B0DDF409FE88}">
      <text>
        <r>
          <rPr>
            <b/>
            <sz val="9"/>
            <color indexed="81"/>
            <rFont val="Tahoma"/>
            <family val="2"/>
          </rPr>
          <t>Instelec SAS:</t>
        </r>
        <r>
          <rPr>
            <sz val="9"/>
            <color indexed="81"/>
            <rFont val="Tahoma"/>
            <family val="2"/>
          </rPr>
          <t xml:space="preserve">
Intereses DIAN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tc={3FB8D28C-33B4-477E-B02B-BA5C886B270C}</author>
  </authors>
  <commentList>
    <comment ref="F10" authorId="0" shapeId="0" xr:uid="{3FB8D28C-33B4-477E-B02B-BA5C886B270C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$ 139.962.400
PRESTAMO JUANCHOANITA
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Catherine Parra</author>
  </authors>
  <commentList>
    <comment ref="B14" authorId="0" shapeId="0" xr:uid="{BB9D081D-CC76-4BC8-A015-EBEBD077CD9C}">
      <text>
        <r>
          <rPr>
            <b/>
            <sz val="10"/>
            <color indexed="81"/>
            <rFont val="Tahoma"/>
            <family val="2"/>
          </rPr>
          <t>Catherine Parra:</t>
        </r>
        <r>
          <rPr>
            <sz val="10"/>
            <color indexed="81"/>
            <rFont val="Tahoma"/>
            <family val="2"/>
          </rPr>
          <t xml:space="preserve">
Debe tener variables de : montaña,
servidumbres
lluvias,
accesos</t>
        </r>
      </text>
    </comment>
  </commentList>
</comments>
</file>

<file path=xl/sharedStrings.xml><?xml version="1.0" encoding="utf-8"?>
<sst xmlns="http://schemas.openxmlformats.org/spreadsheetml/2006/main" count="174" uniqueCount="131">
  <si>
    <t>META</t>
  </si>
  <si>
    <t xml:space="preserve"> </t>
  </si>
  <si>
    <t>ingresos</t>
  </si>
  <si>
    <t>Gastos</t>
  </si>
  <si>
    <t>TOTAL</t>
  </si>
  <si>
    <t>Q1</t>
  </si>
  <si>
    <t>Q2</t>
  </si>
  <si>
    <t>costo de ventas</t>
  </si>
  <si>
    <t>costos de operación</t>
  </si>
  <si>
    <t>Resultados</t>
  </si>
  <si>
    <t>%</t>
  </si>
  <si>
    <t>HMV INGENIEROS</t>
  </si>
  <si>
    <t>INTERCOLOMBIA</t>
  </si>
  <si>
    <t>INTERCONEXION ELECTRICA</t>
  </si>
  <si>
    <t>TRANSELCA</t>
  </si>
  <si>
    <t>PRESUPUESTO</t>
  </si>
  <si>
    <t>Ingresos PERU</t>
  </si>
  <si>
    <t>PERU</t>
  </si>
  <si>
    <t>VARIOS</t>
  </si>
  <si>
    <t>MENORES</t>
  </si>
  <si>
    <t>Q4</t>
  </si>
  <si>
    <t>Q3</t>
  </si>
  <si>
    <t xml:space="preserve">INGRESOS </t>
  </si>
  <si>
    <t>Utilidad</t>
  </si>
  <si>
    <t>REAL</t>
  </si>
  <si>
    <t>Acum jun 30</t>
  </si>
  <si>
    <t>gastos</t>
  </si>
  <si>
    <t>gastos de ventas</t>
  </si>
  <si>
    <t>SEM I</t>
  </si>
  <si>
    <t xml:space="preserve">SEM I </t>
  </si>
  <si>
    <t>Ajuste Yudi</t>
  </si>
  <si>
    <t>Financieros</t>
  </si>
  <si>
    <t>Resultados sin Financieros</t>
  </si>
  <si>
    <t>FLUJO OPERATIVO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</si>
  <si>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</si>
  <si>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</si>
  <si>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</si>
  <si>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</si>
  <si>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</si>
  <si>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</si>
  <si>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</si>
  <si>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</si>
  <si>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</si>
  <si>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</si>
  <si>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</si>
  <si>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</si>
  <si>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ACUMULADO</t>
  </si>
  <si>
    <t>% Part</t>
  </si>
  <si>
    <t>% Var</t>
  </si>
  <si>
    <t>RECAUDO DE CARTERA</t>
  </si>
  <si>
    <t>INCAPACIDADES</t>
  </si>
  <si>
    <t>OTROS INGRESOS</t>
  </si>
  <si>
    <t>TOTAL INGRESOS</t>
  </si>
  <si>
    <t>EGRESOS OPERACIONALES</t>
  </si>
  <si>
    <t>GASTOS DE PERSONAL</t>
  </si>
  <si>
    <t>ALIMENTACION</t>
  </si>
  <si>
    <t>SEGURIDAD SOCIAL</t>
  </si>
  <si>
    <t>VIATICOS</t>
  </si>
  <si>
    <t>REEMBOLSO DE CAJA MENOR</t>
  </si>
  <si>
    <t>COMPRAS</t>
  </si>
  <si>
    <t>SERVICIOS</t>
  </si>
  <si>
    <t>SEGUROS</t>
  </si>
  <si>
    <t>ARRENDAMIENTOS</t>
  </si>
  <si>
    <t>TRANSPORTE</t>
  </si>
  <si>
    <t>MANTENIMIENTO</t>
  </si>
  <si>
    <t>COMBUSTIBLE</t>
  </si>
  <si>
    <t>ACREEDORES</t>
  </si>
  <si>
    <t>PROVEEDORES</t>
  </si>
  <si>
    <t>IMPUESTOS</t>
  </si>
  <si>
    <t>SUBCONTRATISTAS</t>
  </si>
  <si>
    <t>TOTAL EGRESOS</t>
  </si>
  <si>
    <t>TOTAL FLUJO OPERACIÓN</t>
  </si>
  <si>
    <t>FLUJO FINANCIERO</t>
  </si>
  <si>
    <t>RENDIMIENTOS RECIBIDOS</t>
  </si>
  <si>
    <t>EGRESOS FINANCIEROS</t>
  </si>
  <si>
    <t>GASTOS BANCARIOS</t>
  </si>
  <si>
    <t>PAGO DE OBLIG BANCARIAS</t>
  </si>
  <si>
    <t>TARJETA DE CREDITO</t>
  </si>
  <si>
    <t>TOTAL EGRESOS FINANCIEROS</t>
  </si>
  <si>
    <t>TOTAL FLUJO FINANCIERO</t>
  </si>
  <si>
    <t>FLUJO DE ACCIONISTAS</t>
  </si>
  <si>
    <t>PRESTAMOS DE SOCIOS</t>
  </si>
  <si>
    <t>FLUJO NETO MES</t>
  </si>
  <si>
    <t>SALDO A COMIENZO DEL PERIODO</t>
  </si>
  <si>
    <t>SALDO A FINAL DEL PERIODO</t>
  </si>
  <si>
    <t>SEGÚN SIESA</t>
  </si>
  <si>
    <t>SEGÚN EXTRACTOS</t>
  </si>
  <si>
    <t>PARTIDAS CONTABLES</t>
  </si>
  <si>
    <t>0</t>
  </si>
  <si>
    <t>Produccion PDEO</t>
  </si>
  <si>
    <t>Produccion Transelca</t>
  </si>
  <si>
    <t>Mayo</t>
  </si>
  <si>
    <t>junio</t>
  </si>
  <si>
    <t>julio</t>
  </si>
  <si>
    <t>Total</t>
  </si>
  <si>
    <t>Ajuste Produccion</t>
  </si>
  <si>
    <t>HMV</t>
  </si>
  <si>
    <t>Enero</t>
  </si>
  <si>
    <t>marzo</t>
  </si>
  <si>
    <t>feb</t>
  </si>
  <si>
    <t>abril</t>
  </si>
  <si>
    <t>total</t>
  </si>
  <si>
    <t>Ajuste Produccion Q1</t>
  </si>
  <si>
    <t>Ajuste Produccion Q2</t>
  </si>
  <si>
    <t>subtotal Q1</t>
  </si>
  <si>
    <t>Subtotal Q2</t>
  </si>
  <si>
    <t>FACTURACION &amp; PRODUCCION</t>
  </si>
  <si>
    <t>Resultados con Produccion</t>
  </si>
  <si>
    <t>Utilidad Operativa</t>
  </si>
  <si>
    <t>Desviación Presupuestal</t>
  </si>
  <si>
    <t>Margen Operativo del Proyecto</t>
  </si>
  <si>
    <t>±5%</t>
  </si>
  <si>
    <t>Avance de Obra</t>
  </si>
  <si>
    <t>Cumplimiento del Cronograma</t>
  </si>
  <si>
    <t xml:space="preserve">Productividad: </t>
  </si>
  <si>
    <t>Ejecuciòn presupuestal</t>
  </si>
  <si>
    <t>FINANCIERO</t>
  </si>
  <si>
    <t>TECNICO</t>
  </si>
  <si>
    <t>≥ 95%</t>
  </si>
  <si>
    <t>Rendimiento por  Cuadrillas</t>
  </si>
  <si>
    <t>km tendido/día</t>
  </si>
  <si>
    <t>km/día</t>
  </si>
  <si>
    <t>Cimentaciones/cuadrilla</t>
  </si>
  <si>
    <t>und/día</t>
  </si>
  <si>
    <t>Rendimiento montaje</t>
  </si>
  <si>
    <t>torres/semana</t>
  </si>
  <si>
    <t>Rendimiento conductor</t>
  </si>
  <si>
    <t>km/semana</t>
  </si>
  <si>
    <t>Obra Civil</t>
  </si>
  <si>
    <t>Montaje</t>
  </si>
  <si>
    <t>Tendido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</si>
</sst>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$&quot;\ * #,##0_-;\-&quot;$&quot;\ * #,##0_-;_-&quot;$&quot;\ * &quot;-&quot;_-;_-@_-"/>
    <numFmt numFmtId="41" formatCode="_-* #,##0_-;\-* #,##0_-;_-* &quot;-&quot;_-;_-@_-"/>
    <numFmt numFmtId="43" formatCode="_-* #,##0.00_-;\-* #,##0.00_-;_-* &quot;-&quot;??_-;_-@_-"/>
    <numFmt numFmtId="164" formatCode="_(&quot;$&quot;\ * #,##0.00_);_(&quot;$&quot;\ * \(#,##0.00\);_(&quot;$&quot;\ * &quot;-&quot;??_);_(@_)"/>
    <numFmt numFmtId="165" formatCode="_-&quot;$&quot;* #,##0.00_-;\-&quot;$&quot;* #,##0.00_-;_-&quot;$&quot;* &quot;-&quot;??_-;_-@_-"/>
    <numFmt numFmtId="166" formatCode="_-* #,##0_-;\-* #,##0_-;_-* &quot;-&quot;??_-;_-@_-"/>
    <numFmt numFmtId="167" formatCode="###,###,,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sz val="12"/>
      <name val="Century Gothic"/>
      <family val="2"/>
    </font>
    <font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FF0000"/>
      <name val="Calibri"/>
      <family val="2"/>
      <scheme val="minor"/>
    </font>
    <font>
      <sz val="8"/>
      <name val="Verdana"/>
      <family val="2"/>
    </font>
    <font>
      <b/>
      <sz val="9"/>
      <color theme="0"/>
      <name val="Calibri Light"/>
      <family val="2"/>
    </font>
    <font>
      <b/>
      <sz val="9"/>
      <color rgb="FFFF0000"/>
      <name val="Calibri Light"/>
      <family val="2"/>
    </font>
    <font>
      <sz val="9"/>
      <name val="Calibri Light"/>
      <family val="2"/>
    </font>
    <font>
      <sz val="9"/>
      <color rgb="FFFF0000"/>
      <name val="Calibri Light"/>
      <family val="2"/>
    </font>
    <font>
      <b/>
      <sz val="9"/>
      <name val="Calibri Light"/>
      <family val="2"/>
    </font>
    <font>
      <sz val="10"/>
      <color indexed="81"/>
      <name val="Tahoma"/>
      <family val="2"/>
    </font>
    <font>
      <b/>
      <sz val="10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ABABAB"/>
      </left>
      <right/>
      <top/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 style="hair">
        <color rgb="FFABABAB"/>
      </left>
      <right/>
      <top/>
      <bottom style="hair">
        <color rgb="FFABABAB"/>
      </bottom>
      <diagonal/>
    </border>
  </borders>
  <cellStyleXfs count="19">
    <xf numFmtId="0" fontId="0" fillId="0" borderId="0"/>
    <xf numFmtId="0" fontId="3" fillId="0" borderId="0"/>
    <xf numFmtId="9" fontId="3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0" fillId="0" borderId="0">
      <alignment vertical="center"/>
    </xf>
    <xf numFmtId="43" fontId="10" fillId="0" borderId="0" applyFont="0" applyFill="0" applyBorder="0" applyAlignment="0" applyProtection="0"/>
    <xf numFmtId="9" fontId="10" fillId="0" borderId="0" applyFont="0" applyFill="0" applyBorder="0" applyAlignment="0" applyProtection="0"/>
  </cellStyleXfs>
  <cellXfs count="96">
    <xf numFmtId="0" fontId="0" fillId="0" borderId="0" xfId="0"/>
    <xf numFmtId="0" fontId="0" fillId="0" borderId="0" xfId="0" applyAlignment="1">
      <alignment horizontal="center" vertical="center" wrapText="1"/>
    </xf>
    <xf numFmtId="43" fontId="0" fillId="0" borderId="0" xfId="15" applyFont="1"/>
    <xf numFmtId="9" fontId="0" fillId="0" borderId="0" xfId="14" applyFont="1"/>
    <xf numFmtId="0" fontId="2" fillId="0" borderId="0" xfId="0" applyFont="1"/>
    <xf numFmtId="43" fontId="2" fillId="0" borderId="0" xfId="15" applyFont="1"/>
    <xf numFmtId="43" fontId="6" fillId="0" borderId="0" xfId="15" applyFont="1"/>
    <xf numFmtId="0" fontId="6" fillId="0" borderId="0" xfId="0" applyFont="1"/>
    <xf numFmtId="166" fontId="0" fillId="0" borderId="0" xfId="15" applyNumberFormat="1" applyFont="1"/>
    <xf numFmtId="166" fontId="2" fillId="0" borderId="0" xfId="15" applyNumberFormat="1" applyFont="1"/>
    <xf numFmtId="9" fontId="6" fillId="0" borderId="0" xfId="14" applyFont="1"/>
    <xf numFmtId="43" fontId="2" fillId="0" borderId="0" xfId="15" applyFont="1" applyAlignment="1">
      <alignment horizontal="right"/>
    </xf>
    <xf numFmtId="0" fontId="2" fillId="0" borderId="0" xfId="0" applyFont="1" applyAlignment="1">
      <alignment horizontal="right"/>
    </xf>
    <xf numFmtId="3" fontId="0" fillId="0" borderId="0" xfId="0" applyNumberFormat="1"/>
    <xf numFmtId="3" fontId="2" fillId="0" borderId="0" xfId="0" applyNumberFormat="1" applyFont="1"/>
    <xf numFmtId="166" fontId="6" fillId="0" borderId="0" xfId="15" applyNumberFormat="1" applyFont="1"/>
    <xf numFmtId="9" fontId="2" fillId="0" borderId="0" xfId="0" applyNumberFormat="1" applyFont="1"/>
    <xf numFmtId="0" fontId="2" fillId="2" borderId="0" xfId="0" applyFont="1" applyFill="1" applyAlignment="1">
      <alignment horizontal="right"/>
    </xf>
    <xf numFmtId="166" fontId="0" fillId="2" borderId="0" xfId="15" applyNumberFormat="1" applyFont="1" applyFill="1"/>
    <xf numFmtId="166" fontId="2" fillId="2" borderId="0" xfId="15" applyNumberFormat="1" applyFont="1" applyFill="1"/>
    <xf numFmtId="43" fontId="0" fillId="2" borderId="0" xfId="15" applyFont="1" applyFill="1"/>
    <xf numFmtId="0" fontId="0" fillId="2" borderId="0" xfId="0" applyFill="1"/>
    <xf numFmtId="166" fontId="6" fillId="2" borderId="0" xfId="15" applyNumberFormat="1" applyFont="1" applyFill="1"/>
    <xf numFmtId="9" fontId="6" fillId="2" borderId="0" xfId="14" applyFont="1" applyFill="1"/>
    <xf numFmtId="0" fontId="2" fillId="3" borderId="0" xfId="0" applyFont="1" applyFill="1" applyAlignment="1">
      <alignment horizontal="right"/>
    </xf>
    <xf numFmtId="0" fontId="2" fillId="3" borderId="0" xfId="0" applyFont="1" applyFill="1"/>
    <xf numFmtId="166" fontId="0" fillId="3" borderId="0" xfId="15" applyNumberFormat="1" applyFont="1" applyFill="1"/>
    <xf numFmtId="9" fontId="0" fillId="3" borderId="0" xfId="14" applyFont="1" applyFill="1"/>
    <xf numFmtId="166" fontId="2" fillId="3" borderId="0" xfId="15" applyNumberFormat="1" applyFont="1" applyFill="1"/>
    <xf numFmtId="9" fontId="2" fillId="3" borderId="0" xfId="14" applyFont="1" applyFill="1"/>
    <xf numFmtId="166" fontId="9" fillId="2" borderId="0" xfId="15" applyNumberFormat="1" applyFont="1" applyFill="1"/>
    <xf numFmtId="166" fontId="0" fillId="0" borderId="0" xfId="0" applyNumberFormat="1"/>
    <xf numFmtId="166" fontId="2" fillId="0" borderId="0" xfId="0" applyNumberFormat="1" applyFont="1"/>
    <xf numFmtId="41" fontId="0" fillId="0" borderId="0" xfId="0" applyNumberFormat="1"/>
    <xf numFmtId="0" fontId="11" fillId="4" borderId="0" xfId="16" applyFont="1" applyFill="1">
      <alignment vertical="center"/>
    </xf>
    <xf numFmtId="166" fontId="11" fillId="4" borderId="0" xfId="17" applyNumberFormat="1" applyFont="1" applyFill="1" applyBorder="1" applyAlignment="1">
      <alignment horizontal="center" vertical="center"/>
    </xf>
    <xf numFmtId="0" fontId="11" fillId="4" borderId="0" xfId="16" applyFont="1" applyFill="1" applyAlignment="1">
      <alignment horizontal="center" vertical="center"/>
    </xf>
    <xf numFmtId="43" fontId="11" fillId="4" borderId="0" xfId="17" applyFont="1" applyFill="1" applyBorder="1" applyAlignment="1">
      <alignment horizontal="center" vertical="center"/>
    </xf>
    <xf numFmtId="9" fontId="12" fillId="0" borderId="0" xfId="18" applyFont="1" applyBorder="1" applyAlignment="1">
      <alignment vertical="center"/>
    </xf>
    <xf numFmtId="0" fontId="13" fillId="0" borderId="0" xfId="16" applyFont="1">
      <alignment vertical="center"/>
    </xf>
    <xf numFmtId="0" fontId="13" fillId="0" borderId="1" xfId="16" applyFont="1" applyBorder="1">
      <alignment vertical="center"/>
    </xf>
    <xf numFmtId="167" fontId="13" fillId="0" borderId="1" xfId="17" applyNumberFormat="1" applyFont="1" applyFill="1" applyBorder="1" applyAlignment="1">
      <alignment horizontal="center" vertical="center"/>
    </xf>
    <xf numFmtId="167" fontId="13" fillId="0" borderId="1" xfId="16" applyNumberFormat="1" applyFont="1" applyBorder="1" applyAlignment="1">
      <alignment horizontal="center" vertical="center"/>
    </xf>
    <xf numFmtId="9" fontId="14" fillId="0" borderId="0" xfId="18" applyFont="1" applyBorder="1" applyAlignment="1">
      <alignment vertical="center"/>
    </xf>
    <xf numFmtId="166" fontId="13" fillId="0" borderId="0" xfId="16" applyNumberFormat="1" applyFont="1">
      <alignment vertical="center"/>
    </xf>
    <xf numFmtId="0" fontId="13" fillId="0" borderId="1" xfId="16" applyFont="1" applyBorder="1" applyAlignment="1">
      <alignment horizontal="left" vertical="center"/>
    </xf>
    <xf numFmtId="0" fontId="14" fillId="0" borderId="0" xfId="18" applyNumberFormat="1" applyFont="1" applyBorder="1" applyAlignment="1">
      <alignment vertical="center"/>
    </xf>
    <xf numFmtId="0" fontId="15" fillId="0" borderId="1" xfId="16" applyFont="1" applyBorder="1" applyAlignment="1">
      <alignment horizontal="left" vertical="center"/>
    </xf>
    <xf numFmtId="167" fontId="15" fillId="0" borderId="1" xfId="17" applyNumberFormat="1" applyFont="1" applyBorder="1" applyAlignment="1">
      <alignment horizontal="center" vertical="center"/>
    </xf>
    <xf numFmtId="167" fontId="15" fillId="0" borderId="1" xfId="17" applyNumberFormat="1" applyFont="1" applyFill="1" applyBorder="1" applyAlignment="1">
      <alignment horizontal="center" vertical="center"/>
    </xf>
    <xf numFmtId="166" fontId="15" fillId="0" borderId="0" xfId="17" applyNumberFormat="1" applyFont="1" applyBorder="1" applyAlignment="1">
      <alignment vertical="center"/>
    </xf>
    <xf numFmtId="0" fontId="15" fillId="0" borderId="2" xfId="16" applyFont="1" applyBorder="1" applyAlignment="1">
      <alignment horizontal="left" vertical="center"/>
    </xf>
    <xf numFmtId="167" fontId="13" fillId="0" borderId="0" xfId="17" applyNumberFormat="1" applyFont="1" applyBorder="1" applyAlignment="1">
      <alignment horizontal="center" vertical="center"/>
    </xf>
    <xf numFmtId="167" fontId="13" fillId="0" borderId="0" xfId="16" applyNumberFormat="1" applyFont="1" applyAlignment="1">
      <alignment horizontal="center" vertical="center"/>
    </xf>
    <xf numFmtId="43" fontId="13" fillId="0" borderId="0" xfId="17" applyFont="1" applyBorder="1" applyAlignment="1">
      <alignment horizontal="center" vertical="center"/>
    </xf>
    <xf numFmtId="0" fontId="13" fillId="0" borderId="3" xfId="16" applyFont="1" applyBorder="1" applyAlignment="1">
      <alignment horizontal="left" vertical="center"/>
    </xf>
    <xf numFmtId="167" fontId="13" fillId="0" borderId="3" xfId="17" applyNumberFormat="1" applyFont="1" applyFill="1" applyBorder="1" applyAlignment="1">
      <alignment horizontal="center" vertical="center"/>
    </xf>
    <xf numFmtId="167" fontId="13" fillId="0" borderId="3" xfId="16" applyNumberFormat="1" applyFont="1" applyBorder="1" applyAlignment="1">
      <alignment horizontal="center" vertical="center"/>
    </xf>
    <xf numFmtId="0" fontId="15" fillId="0" borderId="3" xfId="16" applyFont="1" applyBorder="1" applyAlignment="1">
      <alignment horizontal="left" vertical="center"/>
    </xf>
    <xf numFmtId="167" fontId="15" fillId="0" borderId="3" xfId="17" applyNumberFormat="1" applyFont="1" applyBorder="1" applyAlignment="1">
      <alignment horizontal="center" vertical="center"/>
    </xf>
    <xf numFmtId="167" fontId="15" fillId="0" borderId="3" xfId="17" applyNumberFormat="1" applyFont="1" applyFill="1" applyBorder="1" applyAlignment="1">
      <alignment horizontal="center" vertical="center"/>
    </xf>
    <xf numFmtId="0" fontId="11" fillId="4" borderId="0" xfId="16" applyFont="1" applyFill="1" applyAlignment="1">
      <alignment horizontal="left" vertical="center"/>
    </xf>
    <xf numFmtId="167" fontId="11" fillId="4" borderId="0" xfId="17" applyNumberFormat="1" applyFont="1" applyFill="1" applyBorder="1" applyAlignment="1">
      <alignment horizontal="center" vertical="center"/>
    </xf>
    <xf numFmtId="0" fontId="13" fillId="0" borderId="0" xfId="16" applyFont="1" applyAlignment="1">
      <alignment horizontal="left" vertical="center"/>
    </xf>
    <xf numFmtId="167" fontId="13" fillId="0" borderId="0" xfId="17" applyNumberFormat="1" applyFont="1" applyFill="1" applyBorder="1" applyAlignment="1">
      <alignment horizontal="center" vertical="center"/>
    </xf>
    <xf numFmtId="167" fontId="15" fillId="0" borderId="0" xfId="17" applyNumberFormat="1" applyFont="1" applyFill="1" applyBorder="1" applyAlignment="1">
      <alignment horizontal="center" vertical="center"/>
    </xf>
    <xf numFmtId="0" fontId="13" fillId="0" borderId="4" xfId="16" applyFont="1" applyBorder="1" applyAlignment="1">
      <alignment horizontal="left" vertical="center"/>
    </xf>
    <xf numFmtId="0" fontId="15" fillId="0" borderId="5" xfId="16" applyFont="1" applyBorder="1" applyAlignment="1">
      <alignment horizontal="left" vertical="center"/>
    </xf>
    <xf numFmtId="167" fontId="11" fillId="4" borderId="0" xfId="16" applyNumberFormat="1" applyFont="1" applyFill="1" applyAlignment="1">
      <alignment horizontal="center" vertical="center"/>
    </xf>
    <xf numFmtId="167" fontId="15" fillId="0" borderId="0" xfId="17" applyNumberFormat="1" applyFont="1" applyBorder="1" applyAlignment="1">
      <alignment horizontal="center" vertical="center"/>
    </xf>
    <xf numFmtId="167" fontId="15" fillId="0" borderId="0" xfId="16" applyNumberFormat="1" applyFont="1" applyAlignment="1">
      <alignment horizontal="center" vertical="center"/>
    </xf>
    <xf numFmtId="43" fontId="15" fillId="0" borderId="0" xfId="17" applyFont="1" applyBorder="1" applyAlignment="1">
      <alignment horizontal="center" vertical="center"/>
    </xf>
    <xf numFmtId="0" fontId="15" fillId="0" borderId="3" xfId="16" applyFont="1" applyBorder="1">
      <alignment vertical="center"/>
    </xf>
    <xf numFmtId="167" fontId="15" fillId="0" borderId="3" xfId="16" applyNumberFormat="1" applyFont="1" applyBorder="1" applyAlignment="1">
      <alignment horizontal="center" vertical="center"/>
    </xf>
    <xf numFmtId="166" fontId="13" fillId="0" borderId="0" xfId="17" applyNumberFormat="1" applyFont="1" applyBorder="1" applyAlignment="1">
      <alignment horizontal="center" vertical="center"/>
    </xf>
    <xf numFmtId="0" fontId="13" fillId="0" borderId="0" xfId="16" applyFont="1" applyAlignment="1">
      <alignment horizontal="center" vertical="center"/>
    </xf>
    <xf numFmtId="167" fontId="13" fillId="0" borderId="0" xfId="16" applyNumberFormat="1" applyFont="1">
      <alignment vertical="center"/>
    </xf>
    <xf numFmtId="9" fontId="13" fillId="0" borderId="0" xfId="14" applyFont="1" applyAlignment="1">
      <alignment vertical="center"/>
    </xf>
    <xf numFmtId="9" fontId="15" fillId="0" borderId="0" xfId="14" applyFont="1" applyBorder="1" applyAlignment="1">
      <alignment vertical="center"/>
    </xf>
    <xf numFmtId="17" fontId="0" fillId="0" borderId="0" xfId="0" applyNumberFormat="1"/>
    <xf numFmtId="0" fontId="9" fillId="0" borderId="0" xfId="0" applyFont="1"/>
    <xf numFmtId="166" fontId="9" fillId="0" borderId="0" xfId="0" applyNumberFormat="1" applyFont="1"/>
    <xf numFmtId="0" fontId="0" fillId="5" borderId="0" xfId="0" applyFill="1"/>
    <xf numFmtId="166" fontId="0" fillId="5" borderId="0" xfId="15" applyNumberFormat="1" applyFont="1" applyFill="1"/>
    <xf numFmtId="166" fontId="0" fillId="5" borderId="0" xfId="0" applyNumberFormat="1" applyFill="1"/>
    <xf numFmtId="9" fontId="6" fillId="5" borderId="0" xfId="14" applyFont="1" applyFill="1"/>
    <xf numFmtId="0" fontId="6" fillId="5" borderId="0" xfId="0" applyFont="1" applyFill="1"/>
    <xf numFmtId="0" fontId="0" fillId="0" borderId="0" xfId="0" applyAlignment="1">
      <alignment vertical="center"/>
    </xf>
    <xf numFmtId="9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43" fontId="2" fillId="2" borderId="0" xfId="15" applyFont="1" applyFill="1" applyAlignment="1">
      <alignment horizontal="center" wrapText="1"/>
    </xf>
    <xf numFmtId="0" fontId="2" fillId="3" borderId="0" xfId="0" applyFont="1" applyFill="1" applyAlignment="1">
      <alignment horizontal="center"/>
    </xf>
  </cellXfs>
  <cellStyles count="19">
    <cellStyle name="Hipervínculo 2" xfId="8" xr:uid="{00000000-0005-0000-0000-000000000000}"/>
    <cellStyle name="Millares" xfId="15" builtinId="3"/>
    <cellStyle name="Millares [0] 2" xfId="4" xr:uid="{00000000-0005-0000-0000-000002000000}"/>
    <cellStyle name="Millares 2" xfId="17" xr:uid="{0516A8F4-DD8E-48D2-96DD-F96C39B9688F}"/>
    <cellStyle name="Moneda [0] 2" xfId="6" xr:uid="{00000000-0005-0000-0000-000005000000}"/>
    <cellStyle name="Moneda 2" xfId="7" xr:uid="{00000000-0005-0000-0000-000006000000}"/>
    <cellStyle name="Moneda 3" xfId="5" xr:uid="{00000000-0005-0000-0000-000007000000}"/>
    <cellStyle name="Moneda 4" xfId="9" xr:uid="{00000000-0005-0000-0000-000008000000}"/>
    <cellStyle name="Normal" xfId="0" builtinId="0"/>
    <cellStyle name="Normal 2" xfId="1" xr:uid="{00000000-0005-0000-0000-00000A000000}"/>
    <cellStyle name="Normal 3" xfId="3" xr:uid="{00000000-0005-0000-0000-00000B000000}"/>
    <cellStyle name="Normal 3 2" xfId="11" xr:uid="{1CAFB37F-0B7D-4896-8580-50ADD47F6770}"/>
    <cellStyle name="Normal 4" xfId="10" xr:uid="{8BF99450-7856-4959-BE4E-E62F14D602D8}"/>
    <cellStyle name="Normal 5" xfId="13" xr:uid="{F694AEC5-1BEF-4138-9D82-6EE4F0901E23}"/>
    <cellStyle name="Normal 6" xfId="16" xr:uid="{E812F76E-E853-4CF4-9B0F-95878D04BB82}"/>
    <cellStyle name="Porcentaje" xfId="14" builtinId="5"/>
    <cellStyle name="Porcentaje 2" xfId="2" xr:uid="{00000000-0005-0000-0000-00000D000000}"/>
    <cellStyle name="Porcentaje 3" xfId="12" xr:uid="{E0C538C8-D66A-4907-A5E2-CA31E5FF41E6}"/>
    <cellStyle name="Porcentaje 4" xfId="18" xr:uid="{F0C127C5-2FB8-4CBB-BF67-91AED282A296}"/>
  </cellStyles>
  <dxfs count="0"/>
  <tableStyles count="0" defaultTableStyle="TableStyleMedium2" defaultPivotStyle="PivotStyleLight16"/>
  <colors>
    <mruColors>
      <color rgb="FFFF6600"/>
      <color rgb="FF009A46"/>
      <color rgb="FFCCFF99"/>
      <color rgb="FFFFFF9B"/>
      <color rgb="FFFFABA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Presupuesto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Datos!$G$39</c:f>
              <c:strCache>
                <c:ptCount val="1"/>
                <c:pt idx="0">
                  <c:v>Q1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numFmt formatCode="###,###,,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Datos!$B$40:$B$45</c15:sqref>
                  </c15:fullRef>
                </c:ext>
              </c:extLst>
              <c:f>(Datos!$B$40,Datos!$B$43:$B$45)</c:f>
              <c:strCache>
                <c:ptCount val="4"/>
                <c:pt idx="0">
                  <c:v>HMV INGENIEROS</c:v>
                </c:pt>
                <c:pt idx="1">
                  <c:v>TRANSELCA</c:v>
                </c:pt>
                <c:pt idx="2">
                  <c:v>PERU</c:v>
                </c:pt>
                <c:pt idx="3">
                  <c:v>VARIOS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Datos!$G$40:$G$45</c15:sqref>
                  </c15:fullRef>
                </c:ext>
              </c:extLst>
              <c:f>(Datos!$G$40,Datos!$G$43:$G$45)</c:f>
              <c:numCache>
                <c:formatCode>_-* #,##0_-;\-* #,##0_-;_-* "-"??_-;_-@_-</c:formatCode>
                <c:ptCount val="4"/>
                <c:pt idx="0">
                  <c:v>5855811628</c:v>
                </c:pt>
                <c:pt idx="3">
                  <c:v>194142789.5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AA-425C-BF9C-CBD76A73FCF2}"/>
            </c:ext>
          </c:extLst>
        </c:ser>
        <c:ser>
          <c:idx val="1"/>
          <c:order val="1"/>
          <c:tx>
            <c:strRef>
              <c:f>Datos!$H$39</c:f>
              <c:strCache>
                <c:ptCount val="1"/>
                <c:pt idx="0">
                  <c:v>Q2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numFmt formatCode="###,###,,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Datos!$B$40:$B$45</c15:sqref>
                  </c15:fullRef>
                </c:ext>
              </c:extLst>
              <c:f>(Datos!$B$40,Datos!$B$43:$B$45)</c:f>
              <c:strCache>
                <c:ptCount val="4"/>
                <c:pt idx="0">
                  <c:v>HMV INGENIEROS</c:v>
                </c:pt>
                <c:pt idx="1">
                  <c:v>TRANSELCA</c:v>
                </c:pt>
                <c:pt idx="2">
                  <c:v>PERU</c:v>
                </c:pt>
                <c:pt idx="3">
                  <c:v>VARIOS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Datos!$H$40:$H$45</c15:sqref>
                  </c15:fullRef>
                </c:ext>
              </c:extLst>
              <c:f>(Datos!$H$40,Datos!$H$43:$H$45)</c:f>
              <c:numCache>
                <c:formatCode>_-* #,##0_-;\-* #,##0_-;_-* "-"??_-;_-@_-</c:formatCode>
                <c:ptCount val="4"/>
                <c:pt idx="0">
                  <c:v>6343795930</c:v>
                </c:pt>
                <c:pt idx="1">
                  <c:v>864047748</c:v>
                </c:pt>
                <c:pt idx="3">
                  <c:v>194142789.5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AA-425C-BF9C-CBD76A73FCF2}"/>
            </c:ext>
          </c:extLst>
        </c:ser>
        <c:ser>
          <c:idx val="2"/>
          <c:order val="2"/>
          <c:tx>
            <c:strRef>
              <c:f>Datos!$I$39</c:f>
              <c:strCache>
                <c:ptCount val="1"/>
                <c:pt idx="0">
                  <c:v>Q3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2"/>
              <c:layout>
                <c:manualLayout>
                  <c:x val="-1.0245150667098753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1AA-425C-BF9C-CBD76A73FCF2}"/>
                </c:ext>
              </c:extLst>
            </c:dLbl>
            <c:numFmt formatCode="###,###,,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Datos!$B$40:$B$45</c15:sqref>
                  </c15:fullRef>
                </c:ext>
              </c:extLst>
              <c:f>(Datos!$B$40,Datos!$B$43:$B$45)</c:f>
              <c:strCache>
                <c:ptCount val="4"/>
                <c:pt idx="0">
                  <c:v>HMV INGENIEROS</c:v>
                </c:pt>
                <c:pt idx="1">
                  <c:v>TRANSELCA</c:v>
                </c:pt>
                <c:pt idx="2">
                  <c:v>PERU</c:v>
                </c:pt>
                <c:pt idx="3">
                  <c:v>VARIOS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Datos!$I$40:$I$45</c15:sqref>
                  </c15:fullRef>
                </c:ext>
              </c:extLst>
              <c:f>(Datos!$I$40,Datos!$I$43:$I$45)</c:f>
              <c:numCache>
                <c:formatCode>_-* #,##0_-;\-* #,##0_-;_-* "-"??_-;_-@_-</c:formatCode>
                <c:ptCount val="4"/>
                <c:pt idx="0">
                  <c:v>7319764535</c:v>
                </c:pt>
                <c:pt idx="1">
                  <c:v>1296071622</c:v>
                </c:pt>
                <c:pt idx="2">
                  <c:v>1903972122.5</c:v>
                </c:pt>
                <c:pt idx="3">
                  <c:v>194142789.5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AA-425C-BF9C-CBD76A73FCF2}"/>
            </c:ext>
          </c:extLst>
        </c:ser>
        <c:ser>
          <c:idx val="3"/>
          <c:order val="3"/>
          <c:tx>
            <c:strRef>
              <c:f>Datos!$J$39</c:f>
              <c:strCache>
                <c:ptCount val="1"/>
                <c:pt idx="0">
                  <c:v>Q4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numFmt formatCode="###,###,,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Datos!$B$40:$B$45</c15:sqref>
                  </c15:fullRef>
                </c:ext>
              </c:extLst>
              <c:f>(Datos!$B$40,Datos!$B$43:$B$45)</c:f>
              <c:strCache>
                <c:ptCount val="4"/>
                <c:pt idx="0">
                  <c:v>HMV INGENIEROS</c:v>
                </c:pt>
                <c:pt idx="1">
                  <c:v>TRANSELCA</c:v>
                </c:pt>
                <c:pt idx="2">
                  <c:v>PERU</c:v>
                </c:pt>
                <c:pt idx="3">
                  <c:v>VARIOS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Datos!$J$40:$J$45</c15:sqref>
                  </c15:fullRef>
                </c:ext>
              </c:extLst>
              <c:f>(Datos!$J$40,Datos!$J$43:$J$45)</c:f>
              <c:numCache>
                <c:formatCode>_-* #,##0_-;\-* #,##0_-;_-* "-"??_-;_-@_-</c:formatCode>
                <c:ptCount val="4"/>
                <c:pt idx="0">
                  <c:v>2439921512</c:v>
                </c:pt>
                <c:pt idx="1">
                  <c:v>1296071622</c:v>
                </c:pt>
                <c:pt idx="2">
                  <c:v>1903972122.5</c:v>
                </c:pt>
                <c:pt idx="3">
                  <c:v>194142789.5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1AA-425C-BF9C-CBD76A73FCF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gapDepth val="130"/>
        <c:shape val="box"/>
        <c:axId val="1949855295"/>
        <c:axId val="1949856735"/>
        <c:axId val="0"/>
      </c:bar3DChart>
      <c:catAx>
        <c:axId val="1949855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49856735"/>
        <c:crosses val="autoZero"/>
        <c:auto val="1"/>
        <c:lblAlgn val="ctr"/>
        <c:lblOffset val="100"/>
        <c:noMultiLvlLbl val="0"/>
      </c:catAx>
      <c:valAx>
        <c:axId val="194985673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crossAx val="1949855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Presupuesto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Datos!$B$40</c:f>
              <c:strCache>
                <c:ptCount val="1"/>
                <c:pt idx="0">
                  <c:v>HMV INGENIEROS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numFmt formatCode="###,###,,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Datos!$G$39:$J$39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Datos!$G$40:$J$40</c:f>
              <c:numCache>
                <c:formatCode>_-* #,##0_-;\-* #,##0_-;_-* "-"??_-;_-@_-</c:formatCode>
                <c:ptCount val="4"/>
                <c:pt idx="0">
                  <c:v>5855811628</c:v>
                </c:pt>
                <c:pt idx="1">
                  <c:v>6343795930</c:v>
                </c:pt>
                <c:pt idx="2">
                  <c:v>7319764535</c:v>
                </c:pt>
                <c:pt idx="3">
                  <c:v>2439921512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A-4682-9A41-D897891DB2A8}"/>
            </c:ext>
          </c:extLst>
        </c:ser>
        <c:ser>
          <c:idx val="3"/>
          <c:order val="3"/>
          <c:tx>
            <c:strRef>
              <c:f>Datos!$B$43</c:f>
              <c:strCache>
                <c:ptCount val="1"/>
                <c:pt idx="0">
                  <c:v>TRANSELCA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hade val="51000"/>
                    <a:satMod val="130000"/>
                  </a:schemeClr>
                </a:gs>
                <a:gs pos="80000">
                  <a:schemeClr val="accent1">
                    <a:lumMod val="60000"/>
                    <a:shade val="93000"/>
                    <a:satMod val="130000"/>
                  </a:schemeClr>
                </a:gs>
                <a:gs pos="100000">
                  <a:schemeClr val="accent1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numFmt formatCode="###,###,,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Datos!$G$39:$J$39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Datos!$G$43:$J$43</c:f>
              <c:numCache>
                <c:formatCode>_-* #,##0_-;\-* #,##0_-;_-* "-"??_-;_-@_-</c:formatCode>
                <c:ptCount val="4"/>
                <c:pt idx="1">
                  <c:v>864047748</c:v>
                </c:pt>
                <c:pt idx="2">
                  <c:v>1296071622</c:v>
                </c:pt>
                <c:pt idx="3">
                  <c:v>1296071622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FAA-4682-9A41-D897891DB2A8}"/>
            </c:ext>
          </c:extLst>
        </c:ser>
        <c:ser>
          <c:idx val="4"/>
          <c:order val="4"/>
          <c:tx>
            <c:strRef>
              <c:f>Datos!$B$44</c:f>
              <c:strCache>
                <c:ptCount val="1"/>
                <c:pt idx="0">
                  <c:v>PERU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hade val="51000"/>
                    <a:satMod val="130000"/>
                  </a:schemeClr>
                </a:gs>
                <a:gs pos="80000">
                  <a:schemeClr val="accent3">
                    <a:lumMod val="60000"/>
                    <a:shade val="93000"/>
                    <a:satMod val="130000"/>
                  </a:schemeClr>
                </a:gs>
                <a:gs pos="100000">
                  <a:schemeClr val="accent3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numFmt formatCode="###,###,,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Datos!$G$39:$J$39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Datos!$G$44:$J$44</c:f>
              <c:numCache>
                <c:formatCode>_-* #,##0_-;\-* #,##0_-;_-* "-"??_-;_-@_-</c:formatCode>
                <c:ptCount val="4"/>
                <c:pt idx="2">
                  <c:v>1903972122.5</c:v>
                </c:pt>
                <c:pt idx="3">
                  <c:v>1903972122.5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FAA-4682-9A41-D897891DB2A8}"/>
            </c:ext>
          </c:extLst>
        </c:ser>
        <c:ser>
          <c:idx val="5"/>
          <c:order val="5"/>
          <c:tx>
            <c:strRef>
              <c:f>Datos!$B$45</c:f>
              <c:strCache>
                <c:ptCount val="1"/>
                <c:pt idx="0">
                  <c:v>VARIOS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shade val="51000"/>
                    <a:satMod val="130000"/>
                  </a:schemeClr>
                </a:gs>
                <a:gs pos="80000">
                  <a:schemeClr val="accent5">
                    <a:lumMod val="60000"/>
                    <a:shade val="93000"/>
                    <a:satMod val="130000"/>
                  </a:schemeClr>
                </a:gs>
                <a:gs pos="100000">
                  <a:schemeClr val="accent5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numFmt formatCode="###,###,,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Datos!$G$39:$J$39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Datos!$G$45:$J$45</c:f>
              <c:numCache>
                <c:formatCode>_-* #,##0_-;\-* #,##0_-;_-* "-"??_-;_-@_-</c:formatCode>
                <c:ptCount val="4"/>
                <c:pt idx="0">
                  <c:v>194142789.5</c:v>
                </c:pt>
                <c:pt idx="1">
                  <c:v>194142789.5</c:v>
                </c:pt>
                <c:pt idx="2">
                  <c:v>194142789.5</c:v>
                </c:pt>
                <c:pt idx="3">
                  <c:v>194142789.5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FAA-4682-9A41-D897891DB2A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949855295"/>
        <c:axId val="1949856735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Datos!$B$41</c15:sqref>
                        </c15:formulaRef>
                      </c:ext>
                    </c:extLst>
                    <c:strCache>
                      <c:ptCount val="1"/>
                      <c:pt idx="0">
                        <c:v>INTERCOLOMBIA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3">
                          <a:shade val="51000"/>
                          <a:satMod val="130000"/>
                        </a:schemeClr>
                      </a:gs>
                      <a:gs pos="80000">
                        <a:schemeClr val="accent3">
                          <a:shade val="93000"/>
                          <a:satMod val="130000"/>
                        </a:schemeClr>
                      </a:gs>
                      <a:gs pos="100000">
                        <a:schemeClr val="accent3"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  <a:scene3d>
                    <a:camera prst="orthographicFront">
                      <a:rot lat="0" lon="0" rev="0"/>
                    </a:camera>
                    <a:lightRig rig="threePt" dir="t">
                      <a:rot lat="0" lon="0" rev="1200000"/>
                    </a:lightRig>
                  </a:scene3d>
                  <a:sp3d>
                    <a:bevelT w="63500" h="25400"/>
                  </a:sp3d>
                </c:spPr>
                <c:invertIfNegative val="0"/>
                <c:dLbls>
                  <c:numFmt formatCode="###,###,," sourceLinked="0"/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CO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Datos!$G$39:$J$39</c15:sqref>
                        </c15:formulaRef>
                      </c:ext>
                    </c:extLst>
                    <c:strCache>
                      <c:ptCount val="4"/>
                      <c:pt idx="0">
                        <c:v>Q1</c:v>
                      </c:pt>
                      <c:pt idx="1">
                        <c:v>Q2</c:v>
                      </c:pt>
                      <c:pt idx="2">
                        <c:v>Q3</c:v>
                      </c:pt>
                      <c:pt idx="3">
                        <c:v>Q4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Datos!$G$41:$J$41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AFAA-4682-9A41-D897891DB2A8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Datos!$B$42</c15:sqref>
                        </c15:formulaRef>
                      </c:ext>
                    </c:extLst>
                    <c:strCache>
                      <c:ptCount val="1"/>
                      <c:pt idx="0">
                        <c:v>INTERCONEXION ELECTRICA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5">
                          <a:shade val="51000"/>
                          <a:satMod val="130000"/>
                        </a:schemeClr>
                      </a:gs>
                      <a:gs pos="80000">
                        <a:schemeClr val="accent5">
                          <a:shade val="93000"/>
                          <a:satMod val="130000"/>
                        </a:schemeClr>
                      </a:gs>
                      <a:gs pos="100000">
                        <a:schemeClr val="accent5"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  <a:scene3d>
                    <a:camera prst="orthographicFront">
                      <a:rot lat="0" lon="0" rev="0"/>
                    </a:camera>
                    <a:lightRig rig="threePt" dir="t">
                      <a:rot lat="0" lon="0" rev="1200000"/>
                    </a:lightRig>
                  </a:scene3d>
                  <a:sp3d>
                    <a:bevelT w="63500" h="25400"/>
                  </a:sp3d>
                </c:spPr>
                <c:invertIfNegative val="0"/>
                <c:dLbls>
                  <c:numFmt formatCode="###,###,," sourceLinked="0"/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CO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Datos!$G$39:$J$39</c15:sqref>
                        </c15:formulaRef>
                      </c:ext>
                    </c:extLst>
                    <c:strCache>
                      <c:ptCount val="4"/>
                      <c:pt idx="0">
                        <c:v>Q1</c:v>
                      </c:pt>
                      <c:pt idx="1">
                        <c:v>Q2</c:v>
                      </c:pt>
                      <c:pt idx="2">
                        <c:v>Q3</c:v>
                      </c:pt>
                      <c:pt idx="3">
                        <c:v>Q4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Datos!$G$42:$J$42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FAA-4682-9A41-D897891DB2A8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Datos!$B$46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lumMod val="80000"/>
                          <a:lumOff val="20000"/>
                          <a:shade val="51000"/>
                          <a:satMod val="130000"/>
                        </a:schemeClr>
                      </a:gs>
                      <a:gs pos="80000">
                        <a:schemeClr val="accent1">
                          <a:lumMod val="80000"/>
                          <a:lumOff val="20000"/>
                          <a:shade val="93000"/>
                          <a:satMod val="130000"/>
                        </a:schemeClr>
                      </a:gs>
                      <a:gs pos="100000">
                        <a:schemeClr val="accent1">
                          <a:lumMod val="80000"/>
                          <a:lumOff val="20000"/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  <a:scene3d>
                    <a:camera prst="orthographicFront">
                      <a:rot lat="0" lon="0" rev="0"/>
                    </a:camera>
                    <a:lightRig rig="threePt" dir="t">
                      <a:rot lat="0" lon="0" rev="1200000"/>
                    </a:lightRig>
                  </a:scene3d>
                  <a:sp3d>
                    <a:bevelT w="63500" h="25400"/>
                  </a:sp3d>
                </c:spPr>
                <c:invertIfNegative val="0"/>
                <c:dLbls>
                  <c:numFmt formatCode="###,###,," sourceLinked="0"/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CO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Datos!$G$39:$J$39</c15:sqref>
                        </c15:formulaRef>
                      </c:ext>
                    </c:extLst>
                    <c:strCache>
                      <c:ptCount val="4"/>
                      <c:pt idx="0">
                        <c:v>Q1</c:v>
                      </c:pt>
                      <c:pt idx="1">
                        <c:v>Q2</c:v>
                      </c:pt>
                      <c:pt idx="2">
                        <c:v>Q3</c:v>
                      </c:pt>
                      <c:pt idx="3">
                        <c:v>Q4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Datos!$G$46:$J$46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"/>
                      <c:pt idx="0">
                        <c:v>6049954417.5</c:v>
                      </c:pt>
                      <c:pt idx="1">
                        <c:v>7401986467.5</c:v>
                      </c:pt>
                      <c:pt idx="2">
                        <c:v>10713951069</c:v>
                      </c:pt>
                      <c:pt idx="3">
                        <c:v>5834108046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AFAA-4682-9A41-D897891DB2A8}"/>
                  </c:ext>
                </c:extLst>
              </c15:ser>
            </c15:filteredBarSeries>
          </c:ext>
        </c:extLst>
      </c:barChart>
      <c:catAx>
        <c:axId val="1949855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49856735"/>
        <c:crosses val="autoZero"/>
        <c:auto val="1"/>
        <c:lblAlgn val="ctr"/>
        <c:lblOffset val="100"/>
        <c:noMultiLvlLbl val="0"/>
      </c:catAx>
      <c:valAx>
        <c:axId val="194985673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crossAx val="1949855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/>
    </a:solidFill>
    <a:ln w="25400" cap="flat" cmpd="sng" algn="ctr">
      <a:noFill/>
      <a:prstDash val="solid"/>
    </a:ln>
    <a:effectLst/>
  </c:spPr>
  <c:txPr>
    <a:bodyPr/>
    <a:lstStyle/>
    <a:p>
      <a:pPr>
        <a:defRPr>
          <a:solidFill>
            <a:schemeClr val="lt1"/>
          </a:solidFill>
          <a:latin typeface="+mn-lt"/>
          <a:ea typeface="+mn-ea"/>
          <a:cs typeface="+mn-cs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Ejecucion Presupuestal de Ingresos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Presupuesto</c:v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numFmt formatCode="###,###,," sourceLinked="0"/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(Datos!$G$39,Datos!$H$39,Datos!$I$39,Datos!$J$39)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(Datos!$G$46,Datos!$H$46,Datos!$I$46,Datos!$J$46)</c:f>
              <c:numCache>
                <c:formatCode>_-* #,##0_-;\-* #,##0_-;_-* "-"??_-;_-@_-</c:formatCode>
                <c:ptCount val="4"/>
                <c:pt idx="0">
                  <c:v>6049954417.5</c:v>
                </c:pt>
                <c:pt idx="1">
                  <c:v>7401986467.5</c:v>
                </c:pt>
                <c:pt idx="2">
                  <c:v>10713951069</c:v>
                </c:pt>
                <c:pt idx="3">
                  <c:v>5834108046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24-48AE-85CF-EE3C902ECE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1042723023"/>
        <c:axId val="1042723503"/>
      </c:barChart>
      <c:lineChart>
        <c:grouping val="standard"/>
        <c:varyColors val="0"/>
        <c:ser>
          <c:idx val="1"/>
          <c:order val="1"/>
          <c:tx>
            <c:v>Real</c:v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numFmt formatCode="###,###,,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(Datos!$C$46,Datos!$E$46)</c:f>
              <c:numCache>
                <c:formatCode>_-* #,##0_-;\-* #,##0_-;_-* "-"??_-;_-@_-</c:formatCode>
                <c:ptCount val="2"/>
                <c:pt idx="0">
                  <c:v>5006874641</c:v>
                </c:pt>
                <c:pt idx="1">
                  <c:v>6055009775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24-48AE-85CF-EE3C902ECE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2737423"/>
        <c:axId val="1042733583"/>
      </c:lineChart>
      <c:catAx>
        <c:axId val="1042723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42723503"/>
        <c:crosses val="autoZero"/>
        <c:auto val="1"/>
        <c:lblAlgn val="ctr"/>
        <c:lblOffset val="100"/>
        <c:noMultiLvlLbl val="0"/>
      </c:catAx>
      <c:valAx>
        <c:axId val="104272350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crossAx val="1042723023"/>
        <c:crosses val="autoZero"/>
        <c:crossBetween val="between"/>
      </c:valAx>
      <c:valAx>
        <c:axId val="1042733583"/>
        <c:scaling>
          <c:orientation val="minMax"/>
        </c:scaling>
        <c:delete val="1"/>
        <c:axPos val="r"/>
        <c:numFmt formatCode="_-* #,##0_-;\-* #,##0_-;_-* &quot;-&quot;??_-;_-@_-" sourceLinked="1"/>
        <c:majorTickMark val="none"/>
        <c:minorTickMark val="none"/>
        <c:tickLblPos val="nextTo"/>
        <c:crossAx val="1042737423"/>
        <c:crosses val="max"/>
        <c:crossBetween val="between"/>
      </c:valAx>
      <c:catAx>
        <c:axId val="1042737423"/>
        <c:scaling>
          <c:orientation val="minMax"/>
        </c:scaling>
        <c:delete val="1"/>
        <c:axPos val="b"/>
        <c:majorTickMark val="none"/>
        <c:minorTickMark val="none"/>
        <c:tickLblPos val="nextTo"/>
        <c:crossAx val="10427335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chart" Target="../charts/chart3.xml"/><Relationship Id="rId5" Type="http://schemas.openxmlformats.org/officeDocument/2006/relationships/image" Target="../media/image5.png"/><Relationship Id="rId10" Type="http://schemas.openxmlformats.org/officeDocument/2006/relationships/chart" Target="../charts/chart2.xml"/><Relationship Id="rId4" Type="http://schemas.openxmlformats.org/officeDocument/2006/relationships/image" Target="../media/image4.png"/><Relationship Id="rId9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6" Type="http://schemas.openxmlformats.org/officeDocument/2006/relationships/image" Target="../media/image15.png"/><Relationship Id="rId5" Type="http://schemas.openxmlformats.org/officeDocument/2006/relationships/image" Target="../media/image14.png"/><Relationship Id="rId4" Type="http://schemas.openxmlformats.org/officeDocument/2006/relationships/image" Target="../media/image13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123825</xdr:colOff>
      <xdr:row>0</xdr:row>
      <xdr:rowOff>0</xdr:rowOff>
    </xdr:from>
    <xdr:to>
      <xdr:col>10</xdr:col>
      <xdr:colOff>763520</xdr:colOff>
      <xdr:row>15</xdr:row>
      <xdr:rowOff>28978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D8E3A5F-7B67-B994-2075-0385394FA8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5825" y="0"/>
          <a:ext cx="10888595" cy="2886478"/>
        </a:xfrm>
        <a:prstGeom prst="rect">
          <a:avLst/>
        </a:prstGeom>
      </xdr:spPr>
    </xdr:pic>
    <xdr:clientData/>
  </xdr:twoCellAnchor>
  <xdr:twoCellAnchor editAs="oneCell">
    <xdr:from>
      <xdr:col>0</xdr:col>
      <xdr:colOff>495300</xdr:colOff>
      <xdr:row>23</xdr:row>
      <xdr:rowOff>63906</xdr:rowOff>
    </xdr:from>
    <xdr:to>
      <xdr:col>10</xdr:col>
      <xdr:colOff>981075</xdr:colOff>
      <xdr:row>36</xdr:row>
      <xdr:rowOff>57150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3FDBBA2-8966-D396-2D69-42EFE64F99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" y="4445406"/>
          <a:ext cx="11858625" cy="24697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285749</xdr:colOff>
      <xdr:row>53</xdr:row>
      <xdr:rowOff>188554</xdr:rowOff>
    </xdr:from>
    <xdr:to>
      <xdr:col>10</xdr:col>
      <xdr:colOff>268450</xdr:colOff>
      <xdr:row>69</xdr:row>
      <xdr:rowOff>29020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9010328-4D68-85E6-280F-F97702DFA1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5749" y="9904054"/>
          <a:ext cx="11355551" cy="28884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71</xdr:row>
      <xdr:rowOff>0</xdr:rowOff>
    </xdr:from>
    <xdr:to>
      <xdr:col>9</xdr:col>
      <xdr:colOff>458720</xdr:colOff>
      <xdr:row>92</xdr:row>
      <xdr:rowOff>76769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D0CC851-4E1D-ED1E-F1C5-2D6AEEFC0E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5430500"/>
          <a:ext cx="10888595" cy="4077269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93</xdr:row>
      <xdr:rowOff>161925</xdr:rowOff>
    </xdr:from>
    <xdr:to>
      <xdr:col>9</xdr:col>
      <xdr:colOff>277717</xdr:colOff>
      <xdr:row>114</xdr:row>
      <xdr:rowOff>133904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74746BE-926F-22A4-7572-2BE0BCD892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050" y="17878425"/>
          <a:ext cx="10688542" cy="397247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117</xdr:row>
      <xdr:rowOff>0</xdr:rowOff>
    </xdr:from>
    <xdr:to>
      <xdr:col>9</xdr:col>
      <xdr:colOff>449193</xdr:colOff>
      <xdr:row>137</xdr:row>
      <xdr:rowOff>172006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6F13BE9-4258-8719-DC7C-A7E7B9405E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2288500"/>
          <a:ext cx="10879068" cy="3982006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857250</xdr:colOff>
          <xdr:row>114</xdr:row>
          <xdr:rowOff>38100</xdr:rowOff>
        </xdr:from>
        <xdr:to>
          <xdr:col>17</xdr:col>
          <xdr:colOff>38100</xdr:colOff>
          <xdr:row>117</xdr:row>
          <xdr:rowOff>19050</xdr:rowOff>
        </xdr:to>
        <xdr:pic>
          <xdr:nvPicPr>
            <xdr:cNvPr id="9" name="Imagen 8">
              <a:extLst>
                <a:ext uri="{FF2B5EF4-FFF2-40B4-BE49-F238E27FC236}">
                  <a16:creationId xmlns:a16="http://schemas.microsoft.com/office/drawing/2014/main" id="{1CFED659-D1BA-ECFB-19BA-17524BA36915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[1]973'!$F$494:$G$496" spid="_x0000_s1250"/>
                </a:ext>
              </a:extLst>
            </xdr:cNvPicPr>
          </xdr:nvPicPr>
          <xdr:blipFill rotWithShape="1">
            <a:blip xmlns:r="http://schemas.openxmlformats.org/officeDocument/2006/relationships" r:embed="rId7"/>
            <a:srcRect l="4458"/>
            <a:stretch>
              <a:fillRect/>
            </a:stretch>
          </xdr:blipFill>
          <xdr:spPr bwMode="auto">
            <a:xfrm>
              <a:off x="16554450" y="21755100"/>
              <a:ext cx="2257425" cy="5524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 editAs="oneCell">
    <xdr:from>
      <xdr:col>9</xdr:col>
      <xdr:colOff>914401</xdr:colOff>
      <xdr:row>114</xdr:row>
      <xdr:rowOff>142875</xdr:rowOff>
    </xdr:from>
    <xdr:to>
      <xdr:col>14</xdr:col>
      <xdr:colOff>95250</xdr:colOff>
      <xdr:row>117</xdr:row>
      <xdr:rowOff>95323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A3A1F7B0-6719-01AF-56F5-230C28023A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982326" y="21859875"/>
          <a:ext cx="5438774" cy="523948"/>
        </a:xfrm>
        <a:prstGeom prst="rect">
          <a:avLst/>
        </a:prstGeom>
      </xdr:spPr>
    </xdr:pic>
    <xdr:clientData/>
  </xdr:twoCellAnchor>
  <xdr:twoCellAnchor>
    <xdr:from>
      <xdr:col>0</xdr:col>
      <xdr:colOff>1123948</xdr:colOff>
      <xdr:row>139</xdr:row>
      <xdr:rowOff>23813</xdr:rowOff>
    </xdr:from>
    <xdr:to>
      <xdr:col>8</xdr:col>
      <xdr:colOff>523874</xdr:colOff>
      <xdr:row>158</xdr:row>
      <xdr:rowOff>152400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C945663B-A2E2-417B-8190-D66D577F5D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104775</xdr:colOff>
      <xdr:row>161</xdr:row>
      <xdr:rowOff>161925</xdr:rowOff>
    </xdr:from>
    <xdr:to>
      <xdr:col>8</xdr:col>
      <xdr:colOff>666750</xdr:colOff>
      <xdr:row>177</xdr:row>
      <xdr:rowOff>47625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0A741FFE-4D74-41F0-BF1B-6499238F1C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1123949</xdr:colOff>
      <xdr:row>178</xdr:row>
      <xdr:rowOff>0</xdr:rowOff>
    </xdr:from>
    <xdr:to>
      <xdr:col>8</xdr:col>
      <xdr:colOff>647699</xdr:colOff>
      <xdr:row>193</xdr:row>
      <xdr:rowOff>171450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F1F64B1D-FE66-432B-AF10-0C1CBFD94A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</xdr:col>
      <xdr:colOff>4753638</xdr:colOff>
      <xdr:row>1</xdr:row>
      <xdr:rowOff>714475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A38A39-9628-BF25-C0C8-6C7199C20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2880"/>
          <a:ext cx="4753638" cy="714475"/>
        </a:xfrm>
        <a:prstGeom prst="rect">
          <a:avLst/>
        </a:prstGeom>
      </xdr:spPr>
    </xdr:pic>
    <xdr:clientData/>
  </xdr:twoCellAnchor>
  <xdr:twoCellAnchor editAs="oneCell">
    <xdr:from>
      <xdr:col>2</xdr:col>
      <xdr:colOff>83820</xdr:colOff>
      <xdr:row>3</xdr:row>
      <xdr:rowOff>53340</xdr:rowOff>
    </xdr:from>
    <xdr:to>
      <xdr:col>2</xdr:col>
      <xdr:colOff>3875299</xdr:colOff>
      <xdr:row>4</xdr:row>
      <xdr:rowOff>5788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856D7E3-5B1F-773E-DD43-F1362C57C3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20240" y="1287780"/>
          <a:ext cx="3791479" cy="523948"/>
        </a:xfrm>
        <a:prstGeom prst="rect">
          <a:avLst/>
        </a:prstGeom>
      </xdr:spPr>
    </xdr:pic>
    <xdr:clientData/>
  </xdr:twoCellAnchor>
  <xdr:twoCellAnchor editAs="oneCell">
    <xdr:from>
      <xdr:col>2</xdr:col>
      <xdr:colOff>929641</xdr:colOff>
      <xdr:row>6</xdr:row>
      <xdr:rowOff>91441</xdr:rowOff>
    </xdr:from>
    <xdr:to>
      <xdr:col>2</xdr:col>
      <xdr:colOff>2827021</xdr:colOff>
      <xdr:row>6</xdr:row>
      <xdr:rowOff>569463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6070685-DB5E-EE9F-EDEE-615DC6F15B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66061" y="2766061"/>
          <a:ext cx="1897380" cy="478022"/>
        </a:xfrm>
        <a:prstGeom prst="rect">
          <a:avLst/>
        </a:prstGeom>
      </xdr:spPr>
    </xdr:pic>
    <xdr:clientData/>
  </xdr:twoCellAnchor>
  <xdr:twoCellAnchor editAs="oneCell">
    <xdr:from>
      <xdr:col>2</xdr:col>
      <xdr:colOff>640079</xdr:colOff>
      <xdr:row>9</xdr:row>
      <xdr:rowOff>84074</xdr:rowOff>
    </xdr:from>
    <xdr:to>
      <xdr:col>2</xdr:col>
      <xdr:colOff>2583180</xdr:colOff>
      <xdr:row>9</xdr:row>
      <xdr:rowOff>543027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B119824-287E-26EF-9655-A465F2F8DA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476499" y="3177794"/>
          <a:ext cx="1943101" cy="458953"/>
        </a:xfrm>
        <a:prstGeom prst="rect">
          <a:avLst/>
        </a:prstGeom>
      </xdr:spPr>
    </xdr:pic>
    <xdr:clientData/>
  </xdr:twoCellAnchor>
  <xdr:twoCellAnchor editAs="oneCell">
    <xdr:from>
      <xdr:col>2</xdr:col>
      <xdr:colOff>975360</xdr:colOff>
      <xdr:row>13</xdr:row>
      <xdr:rowOff>42752</xdr:rowOff>
    </xdr:from>
    <xdr:to>
      <xdr:col>2</xdr:col>
      <xdr:colOff>2476500</xdr:colOff>
      <xdr:row>13</xdr:row>
      <xdr:rowOff>470613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60982CF6-35E1-47E0-94A3-656C2168FE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604260" y="4774772"/>
          <a:ext cx="1501140" cy="427861"/>
        </a:xfrm>
        <a:prstGeom prst="rect">
          <a:avLst/>
        </a:prstGeom>
      </xdr:spPr>
    </xdr:pic>
    <xdr:clientData/>
  </xdr:twoCellAnchor>
  <xdr:twoCellAnchor editAs="oneCell">
    <xdr:from>
      <xdr:col>2</xdr:col>
      <xdr:colOff>548640</xdr:colOff>
      <xdr:row>5</xdr:row>
      <xdr:rowOff>60960</xdr:rowOff>
    </xdr:from>
    <xdr:to>
      <xdr:col>2</xdr:col>
      <xdr:colOff>3530381</xdr:colOff>
      <xdr:row>6</xdr:row>
      <xdr:rowOff>32477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AE172832-F39A-276C-B71C-B54011CBCC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385060" y="2049780"/>
          <a:ext cx="2981741" cy="65731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Instelec%20SAS\Desktop\Claudia%20Rivera\Estados%20Financieros%20Firmados\2025\Balance%20Junio%20Ajuste%20Con%20EMa.xls" TargetMode="External"/><Relationship Id="rId1" Type="http://schemas.openxmlformats.org/officeDocument/2006/relationships/externalLinkPath" Target="file:///\\192.168.0.122\f\Users\Instelec%20SAS\Desktop\Claudia%20Rivera\Estados%20Financieros%20Firmados\2025\Balance%20Junio%20Ajuste%20Con%20EM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973"/>
      <sheetName val="Hoja1"/>
      <sheetName val="Hoja2"/>
      <sheetName val="Hoja3"/>
    </sheetNames>
    <sheetDataSet>
      <sheetData sheetId="0"/>
      <sheetData sheetId="1"/>
      <sheetData sheetId="2"/>
      <sheetData sheetId="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KELLY ALEJANDRA MOLINA CARDONA" id="{8849FC4D-A484-4CD5-9CF1-C86CDB488409}" userId="S::kelly.molina@instelec.com.co::894de0f0-c35b-4204-bd79-805bab10f5aa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0" dT="2025-08-05T17:29:12.50" personId="{8849FC4D-A484-4CD5-9CF1-C86CDB488409}" id="{3FB8D28C-33B4-477E-B02B-BA5C886B270C}">
    <text xml:space="preserve">$ 139.962.400
PRESTAMO JUANCHOANITA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17F0B-C9C3-4D89-817B-DA33BF968DE9}">
  <dimension ref="A16:P147"/>
  <sheetViews>
    <sheetView showGridLines="0" topLeftCell="G121" workbookViewId="0">
      <selection activeCell="M131" activeCellId="1" sqref="L131 M131"/>
    </sheetView>
  </sheetViews>
  <sheetFormatPr baseColWidth="10" defaultRowHeight="15" x14ac:dyDescent="0.25"/>
  <cols>
    <col min="1" max="1" width="16.85546875" bestFit="1" customWidth="1"/>
    <col min="2" max="2" width="21.85546875" bestFit="1" customWidth="1"/>
    <col min="3" max="3" width="22.42578125" bestFit="1" customWidth="1"/>
    <col min="4" max="4" width="14.140625" bestFit="1" customWidth="1"/>
    <col min="5" max="5" width="17" style="2" bestFit="1" customWidth="1"/>
    <col min="6" max="6" width="16.85546875" bestFit="1" customWidth="1"/>
    <col min="7" max="7" width="17" style="2" bestFit="1" customWidth="1"/>
    <col min="8" max="9" width="15.140625" bestFit="1" customWidth="1"/>
    <col min="10" max="10" width="14.140625" bestFit="1" customWidth="1"/>
    <col min="11" max="11" width="28.140625" customWidth="1"/>
    <col min="12" max="13" width="17.85546875" bestFit="1" customWidth="1"/>
    <col min="14" max="14" width="15.85546875" customWidth="1"/>
    <col min="15" max="15" width="16.85546875" style="2" bestFit="1" customWidth="1"/>
    <col min="16" max="16" width="17.85546875" bestFit="1" customWidth="1"/>
  </cols>
  <sheetData>
    <row r="16" spans="3:8" x14ac:dyDescent="0.25">
      <c r="C16" s="4" t="s">
        <v>24</v>
      </c>
      <c r="E16" s="11" t="s">
        <v>5</v>
      </c>
      <c r="F16" s="12" t="s">
        <v>6</v>
      </c>
      <c r="G16" s="11" t="s">
        <v>21</v>
      </c>
      <c r="H16" s="11" t="s">
        <v>20</v>
      </c>
    </row>
    <row r="17" spans="3:15" x14ac:dyDescent="0.25">
      <c r="C17" t="s">
        <v>2</v>
      </c>
      <c r="E17" s="8">
        <v>-5006874641.1000004</v>
      </c>
      <c r="F17" s="8">
        <f>225223524+2252235242+3378352862</f>
        <v>5855811628</v>
      </c>
      <c r="G17" s="8">
        <v>6343795930</v>
      </c>
    </row>
    <row r="18" spans="3:15" x14ac:dyDescent="0.25">
      <c r="C18" t="s">
        <v>3</v>
      </c>
      <c r="E18" s="8">
        <v>2514634495.5</v>
      </c>
      <c r="F18" s="8"/>
      <c r="G18" s="8"/>
    </row>
    <row r="19" spans="3:15" x14ac:dyDescent="0.25">
      <c r="C19" t="s">
        <v>7</v>
      </c>
      <c r="E19" s="8">
        <v>151178601.22</v>
      </c>
      <c r="F19" s="8"/>
      <c r="G19" s="8"/>
    </row>
    <row r="20" spans="3:15" x14ac:dyDescent="0.25">
      <c r="C20" t="s">
        <v>8</v>
      </c>
      <c r="E20" s="8">
        <v>3139528365.54</v>
      </c>
      <c r="F20" s="8"/>
      <c r="G20" s="8"/>
    </row>
    <row r="21" spans="3:15" s="4" customFormat="1" x14ac:dyDescent="0.25">
      <c r="C21" s="4" t="s">
        <v>9</v>
      </c>
      <c r="E21" s="9">
        <f>+SUM(E17:E20)</f>
        <v>798466821.15999937</v>
      </c>
      <c r="F21" s="9">
        <f>1027364526-147139575-846098610</f>
        <v>34126341</v>
      </c>
      <c r="G21" s="9">
        <v>542521238</v>
      </c>
      <c r="O21" s="5"/>
    </row>
    <row r="22" spans="3:15" s="7" customFormat="1" x14ac:dyDescent="0.25">
      <c r="C22" s="7" t="s">
        <v>10</v>
      </c>
      <c r="E22" s="10">
        <f>+E21/E17</f>
        <v>-0.15947409879321001</v>
      </c>
      <c r="F22" s="10">
        <f>+F21/F17</f>
        <v>5.8277730172914639E-3</v>
      </c>
      <c r="G22" s="6">
        <f>+G21/G17</f>
        <v>8.5519970059944855E-2</v>
      </c>
      <c r="O22" s="6"/>
    </row>
    <row r="38" spans="1:12" x14ac:dyDescent="0.25">
      <c r="C38" s="95" t="s">
        <v>24</v>
      </c>
      <c r="D38" s="95"/>
      <c r="E38" s="95"/>
      <c r="F38" s="95"/>
      <c r="G38" s="94" t="s">
        <v>15</v>
      </c>
      <c r="H38" s="94"/>
      <c r="I38" s="94"/>
      <c r="J38" s="94"/>
      <c r="K38" s="94"/>
    </row>
    <row r="39" spans="1:12" x14ac:dyDescent="0.25">
      <c r="A39">
        <v>2024</v>
      </c>
      <c r="B39" s="4" t="s">
        <v>22</v>
      </c>
      <c r="C39" s="24" t="s">
        <v>5</v>
      </c>
      <c r="D39" s="25"/>
      <c r="E39" s="24" t="s">
        <v>6</v>
      </c>
      <c r="F39" s="25"/>
      <c r="G39" s="17" t="s">
        <v>5</v>
      </c>
      <c r="H39" s="17" t="s">
        <v>6</v>
      </c>
      <c r="I39" s="17" t="s">
        <v>21</v>
      </c>
      <c r="J39" s="17" t="s">
        <v>20</v>
      </c>
      <c r="K39" s="17" t="s">
        <v>4</v>
      </c>
    </row>
    <row r="40" spans="1:12" x14ac:dyDescent="0.25">
      <c r="A40" s="8">
        <v>2423118863</v>
      </c>
      <c r="B40" t="s">
        <v>11</v>
      </c>
      <c r="C40" s="26">
        <v>1936436214</v>
      </c>
      <c r="D40" s="27">
        <f>+C40/$C$46</f>
        <v>0.38675548178159391</v>
      </c>
      <c r="E40" s="26">
        <v>4551519581</v>
      </c>
      <c r="F40" s="27">
        <f>+E40/$E$46</f>
        <v>0.75169483619867483</v>
      </c>
      <c r="G40" s="18">
        <v>5855811628</v>
      </c>
      <c r="H40" s="18">
        <v>6343795930</v>
      </c>
      <c r="I40" s="18">
        <v>7319764535</v>
      </c>
      <c r="J40" s="18">
        <v>2439921512</v>
      </c>
      <c r="K40" s="18">
        <f>+SUM(G40:J40)</f>
        <v>21959293605</v>
      </c>
      <c r="L40" s="3">
        <f>+K40/$K$46</f>
        <v>0.73197645349999996</v>
      </c>
    </row>
    <row r="41" spans="1:12" x14ac:dyDescent="0.25">
      <c r="B41" t="s">
        <v>12</v>
      </c>
      <c r="C41" s="26">
        <v>1456137441</v>
      </c>
      <c r="D41" s="27">
        <f t="shared" ref="D41:D46" si="0">+C41/$C$46</f>
        <v>0.2908276211024074</v>
      </c>
      <c r="E41" s="26">
        <v>0</v>
      </c>
      <c r="F41" s="27">
        <f t="shared" ref="F41:F43" si="1">+E41/$E$46</f>
        <v>0</v>
      </c>
      <c r="G41" s="18"/>
      <c r="H41" s="18"/>
      <c r="I41" s="18"/>
      <c r="J41" s="18"/>
      <c r="K41" s="18">
        <f t="shared" ref="K41:K44" si="2">+SUM(G41:J41)</f>
        <v>0</v>
      </c>
      <c r="L41" s="3"/>
    </row>
    <row r="42" spans="1:12" x14ac:dyDescent="0.25">
      <c r="B42" t="s">
        <v>13</v>
      </c>
      <c r="C42" s="26">
        <v>747113360</v>
      </c>
      <c r="D42" s="27">
        <f t="shared" si="0"/>
        <v>0.14921750863943789</v>
      </c>
      <c r="E42" s="26">
        <v>-7415795</v>
      </c>
      <c r="F42" s="27">
        <f t="shared" si="1"/>
        <v>-1.2247370814525234E-3</v>
      </c>
      <c r="G42" s="18"/>
      <c r="H42" s="18"/>
      <c r="I42" s="18"/>
      <c r="J42" s="18"/>
      <c r="K42" s="18">
        <f t="shared" si="2"/>
        <v>0</v>
      </c>
      <c r="L42" s="3"/>
    </row>
    <row r="43" spans="1:12" x14ac:dyDescent="0.25">
      <c r="B43" t="s">
        <v>14</v>
      </c>
      <c r="C43" s="26"/>
      <c r="D43" s="27"/>
      <c r="E43" s="26">
        <v>864047748</v>
      </c>
      <c r="F43" s="27">
        <f t="shared" si="1"/>
        <v>0.14269964543533706</v>
      </c>
      <c r="G43" s="18"/>
      <c r="H43" s="18">
        <f>1296071622/3*2</f>
        <v>864047748</v>
      </c>
      <c r="I43" s="18">
        <v>1296071622</v>
      </c>
      <c r="J43" s="18">
        <v>1296071622</v>
      </c>
      <c r="K43" s="18">
        <f t="shared" si="2"/>
        <v>3456190992</v>
      </c>
      <c r="L43" s="3">
        <f t="shared" ref="L43:L46" si="3">+K43/$K$46</f>
        <v>0.1152063664</v>
      </c>
    </row>
    <row r="44" spans="1:12" x14ac:dyDescent="0.25">
      <c r="B44" t="s">
        <v>17</v>
      </c>
      <c r="C44" s="26"/>
      <c r="D44" s="27"/>
      <c r="E44" s="26"/>
      <c r="F44" s="27"/>
      <c r="G44" s="18"/>
      <c r="H44" s="18"/>
      <c r="I44" s="18">
        <f>+N66/2</f>
        <v>1903972122.5</v>
      </c>
      <c r="J44" s="18">
        <f>+I44</f>
        <v>1903972122.5</v>
      </c>
      <c r="K44" s="18">
        <f t="shared" si="2"/>
        <v>3807944245</v>
      </c>
      <c r="L44" s="3">
        <f t="shared" si="3"/>
        <v>0.12693147483333334</v>
      </c>
    </row>
    <row r="45" spans="1:12" x14ac:dyDescent="0.25">
      <c r="B45" t="s">
        <v>18</v>
      </c>
      <c r="C45" s="26">
        <f>5006874641-C42-C41-C40</f>
        <v>867187626</v>
      </c>
      <c r="D45" s="27"/>
      <c r="E45" s="26">
        <f>E46-E40-E42-E43</f>
        <v>646858241</v>
      </c>
      <c r="F45" s="27"/>
      <c r="G45" s="18">
        <f>+($K$45/4)</f>
        <v>194142789.5</v>
      </c>
      <c r="H45" s="18">
        <f t="shared" ref="H45:J45" si="4">+$K$45/4</f>
        <v>194142789.5</v>
      </c>
      <c r="I45" s="18">
        <f t="shared" si="4"/>
        <v>194142789.5</v>
      </c>
      <c r="J45" s="18">
        <f t="shared" si="4"/>
        <v>194142789.5</v>
      </c>
      <c r="K45" s="18">
        <f>+K47-K40-K43-K44</f>
        <v>776571158</v>
      </c>
      <c r="L45" s="3">
        <f t="shared" si="3"/>
        <v>2.5885705266666666E-2</v>
      </c>
    </row>
    <row r="46" spans="1:12" x14ac:dyDescent="0.25">
      <c r="B46" s="4" t="s">
        <v>4</v>
      </c>
      <c r="C46" s="28">
        <v>5006874641</v>
      </c>
      <c r="D46" s="29">
        <f t="shared" si="0"/>
        <v>1</v>
      </c>
      <c r="E46" s="28">
        <v>6055009775</v>
      </c>
      <c r="F46" s="29"/>
      <c r="G46" s="19">
        <f>+SUM(G40:G45)</f>
        <v>6049954417.5</v>
      </c>
      <c r="H46" s="19">
        <f t="shared" ref="H46:K46" si="5">+SUM(H40:H45)</f>
        <v>7401986467.5</v>
      </c>
      <c r="I46" s="19">
        <f t="shared" si="5"/>
        <v>10713951069</v>
      </c>
      <c r="J46" s="19">
        <f t="shared" si="5"/>
        <v>5834108046</v>
      </c>
      <c r="K46" s="19">
        <f t="shared" si="5"/>
        <v>30000000000</v>
      </c>
      <c r="L46" s="3">
        <f t="shared" si="3"/>
        <v>1</v>
      </c>
    </row>
    <row r="47" spans="1:12" x14ac:dyDescent="0.25">
      <c r="G47" s="20"/>
      <c r="H47" s="21"/>
      <c r="I47" s="21"/>
      <c r="J47" s="21"/>
      <c r="K47" s="22">
        <v>30000000000</v>
      </c>
    </row>
    <row r="48" spans="1:12" x14ac:dyDescent="0.25">
      <c r="B48" s="4" t="s">
        <v>15</v>
      </c>
      <c r="C48" s="9">
        <v>2024</v>
      </c>
      <c r="D48" s="4">
        <v>2025</v>
      </c>
      <c r="F48" s="19" t="s">
        <v>23</v>
      </c>
      <c r="G48" s="19">
        <f>+G46*$L$48</f>
        <v>725994530.10000002</v>
      </c>
      <c r="H48" s="19">
        <f t="shared" ref="H48:K48" si="6">+H46*$L$48</f>
        <v>888238376.10000002</v>
      </c>
      <c r="I48" s="19">
        <f t="shared" si="6"/>
        <v>1285674128.28</v>
      </c>
      <c r="J48" s="19">
        <f t="shared" si="6"/>
        <v>700092965.51999998</v>
      </c>
      <c r="K48" s="19">
        <f t="shared" si="6"/>
        <v>3600000000</v>
      </c>
      <c r="L48" s="16">
        <v>0.12</v>
      </c>
    </row>
    <row r="49" spans="2:15" x14ac:dyDescent="0.25">
      <c r="B49" t="s">
        <v>11</v>
      </c>
      <c r="C49" s="13">
        <v>2439921</v>
      </c>
      <c r="D49" s="13">
        <f>+K40/1000</f>
        <v>21959293.605</v>
      </c>
      <c r="F49" s="30" t="s">
        <v>10</v>
      </c>
      <c r="G49" s="23">
        <f>+G48/G46</f>
        <v>0.12000000000000001</v>
      </c>
      <c r="H49" s="23">
        <f t="shared" ref="H49:K49" si="7">+H48/H46</f>
        <v>0.12000000000000001</v>
      </c>
      <c r="I49" s="23">
        <f t="shared" si="7"/>
        <v>0.12</v>
      </c>
      <c r="J49" s="23">
        <f t="shared" si="7"/>
        <v>0.12</v>
      </c>
      <c r="K49" s="23">
        <f t="shared" si="7"/>
        <v>0.12</v>
      </c>
    </row>
    <row r="50" spans="2:15" x14ac:dyDescent="0.25">
      <c r="B50" t="s">
        <v>14</v>
      </c>
      <c r="C50" s="13">
        <v>0</v>
      </c>
      <c r="D50" s="13">
        <f>+E43/1000/2*8</f>
        <v>3456190.9920000001</v>
      </c>
    </row>
    <row r="51" spans="2:15" x14ac:dyDescent="0.25">
      <c r="B51" t="s">
        <v>17</v>
      </c>
      <c r="C51" s="13"/>
      <c r="D51" s="13">
        <f>+N66/1000</f>
        <v>3807944.2450000001</v>
      </c>
    </row>
    <row r="52" spans="2:15" x14ac:dyDescent="0.25">
      <c r="B52" t="s">
        <v>19</v>
      </c>
      <c r="C52" s="13"/>
      <c r="D52" s="13">
        <f>+D54-D49-D50-D51</f>
        <v>776571.15799999889</v>
      </c>
    </row>
    <row r="53" spans="2:15" x14ac:dyDescent="0.25">
      <c r="B53" s="4" t="s">
        <v>4</v>
      </c>
      <c r="C53" s="14">
        <v>25660070</v>
      </c>
      <c r="D53" s="14">
        <f>+D50+D49+D51+D52</f>
        <v>30000000</v>
      </c>
    </row>
    <row r="54" spans="2:15" x14ac:dyDescent="0.25">
      <c r="D54" s="15">
        <v>30000000</v>
      </c>
    </row>
    <row r="58" spans="2:15" x14ac:dyDescent="0.25">
      <c r="L58" s="2"/>
      <c r="N58" s="8">
        <v>335737310</v>
      </c>
      <c r="O58">
        <v>5</v>
      </c>
    </row>
    <row r="59" spans="2:15" x14ac:dyDescent="0.25">
      <c r="L59" s="2"/>
      <c r="N59" s="8">
        <v>498947535</v>
      </c>
      <c r="O59">
        <v>5</v>
      </c>
    </row>
    <row r="60" spans="2:15" x14ac:dyDescent="0.25">
      <c r="L60" s="2"/>
      <c r="N60" s="8">
        <v>344584158</v>
      </c>
      <c r="O60">
        <v>5</v>
      </c>
    </row>
    <row r="61" spans="2:15" x14ac:dyDescent="0.25">
      <c r="L61" s="2"/>
      <c r="N61" s="8">
        <v>288975890</v>
      </c>
      <c r="O61">
        <v>6</v>
      </c>
    </row>
    <row r="62" spans="2:15" x14ac:dyDescent="0.25">
      <c r="L62" s="2"/>
      <c r="N62" s="8">
        <v>507923325</v>
      </c>
      <c r="O62">
        <v>6</v>
      </c>
    </row>
    <row r="63" spans="2:15" x14ac:dyDescent="0.25">
      <c r="L63" s="2"/>
      <c r="N63" s="8">
        <v>406480130</v>
      </c>
      <c r="O63">
        <v>6</v>
      </c>
    </row>
    <row r="64" spans="2:15" x14ac:dyDescent="0.25">
      <c r="L64" s="2"/>
      <c r="N64" s="8">
        <v>1171614120</v>
      </c>
      <c r="O64">
        <v>6</v>
      </c>
    </row>
    <row r="65" spans="11:15" x14ac:dyDescent="0.25">
      <c r="L65" s="2"/>
      <c r="N65" s="8">
        <v>253681777</v>
      </c>
      <c r="O65">
        <v>7</v>
      </c>
    </row>
    <row r="66" spans="11:15" x14ac:dyDescent="0.25">
      <c r="L66" s="5" t="s">
        <v>16</v>
      </c>
      <c r="N66" s="9">
        <f>+SUM(N58:N65)</f>
        <v>3807944245</v>
      </c>
      <c r="O66"/>
    </row>
    <row r="75" spans="11:15" x14ac:dyDescent="0.25">
      <c r="K75" s="4" t="s">
        <v>25</v>
      </c>
      <c r="L75" s="12" t="s">
        <v>5</v>
      </c>
      <c r="M75" s="12" t="s">
        <v>6</v>
      </c>
    </row>
    <row r="76" spans="11:15" x14ac:dyDescent="0.25">
      <c r="K76" s="8">
        <v>-11046360810.92</v>
      </c>
      <c r="L76" s="8">
        <v>-5006874641.1000004</v>
      </c>
      <c r="M76" s="8">
        <f>+K76-L76</f>
        <v>-6039486169.8199997</v>
      </c>
    </row>
    <row r="77" spans="11:15" x14ac:dyDescent="0.25">
      <c r="K77" s="8">
        <v>3835241765.0999999</v>
      </c>
      <c r="L77" s="8">
        <v>2514634945.5599999</v>
      </c>
      <c r="M77" s="8">
        <f t="shared" ref="M77:M79" si="8">+K77-L77</f>
        <v>1320606819.54</v>
      </c>
    </row>
    <row r="78" spans="11:15" x14ac:dyDescent="0.25">
      <c r="K78" s="8">
        <v>787323995.42999995</v>
      </c>
      <c r="L78" s="8">
        <v>151178601.22</v>
      </c>
      <c r="M78" s="8">
        <f t="shared" si="8"/>
        <v>636145394.20999992</v>
      </c>
    </row>
    <row r="79" spans="11:15" x14ac:dyDescent="0.25">
      <c r="K79" s="8">
        <v>9532785831.2199993</v>
      </c>
      <c r="L79" s="8">
        <v>3139528365.54</v>
      </c>
      <c r="M79" s="8">
        <f t="shared" si="8"/>
        <v>6393257465.6799994</v>
      </c>
    </row>
    <row r="80" spans="11:15" x14ac:dyDescent="0.25">
      <c r="K80" s="9">
        <f>+SUM(K76:K79)</f>
        <v>3108990780.8299999</v>
      </c>
      <c r="L80" s="9">
        <f>+SUM(L76:L79)</f>
        <v>798467271.21999931</v>
      </c>
      <c r="M80" s="9">
        <f>+SUM(M76:M79)</f>
        <v>2310523509.6099997</v>
      </c>
    </row>
    <row r="81" spans="11:14" x14ac:dyDescent="0.25">
      <c r="K81" s="10">
        <f>+K80/K76</f>
        <v>-0.28144932381319404</v>
      </c>
      <c r="L81" s="10">
        <f t="shared" ref="L81:M81" si="9">+L80/L76</f>
        <v>-0.15947418868161989</v>
      </c>
      <c r="M81" s="10">
        <f t="shared" si="9"/>
        <v>-0.38256955056142833</v>
      </c>
    </row>
    <row r="82" spans="11:14" x14ac:dyDescent="0.25">
      <c r="N82" t="s">
        <v>89</v>
      </c>
    </row>
    <row r="83" spans="11:14" x14ac:dyDescent="0.25">
      <c r="M83" s="8">
        <f>(327073712+641955838+850560874)-(327073712+641955838)</f>
        <v>850560874</v>
      </c>
      <c r="N83" t="s">
        <v>90</v>
      </c>
    </row>
    <row r="119" spans="11:16" x14ac:dyDescent="0.25">
      <c r="L119" s="12" t="s">
        <v>5</v>
      </c>
      <c r="M119" s="12" t="s">
        <v>6</v>
      </c>
      <c r="N119" s="12" t="s">
        <v>28</v>
      </c>
      <c r="O119" s="12" t="s">
        <v>30</v>
      </c>
      <c r="P119" s="12" t="s">
        <v>29</v>
      </c>
    </row>
    <row r="120" spans="11:16" x14ac:dyDescent="0.25">
      <c r="K120" t="s">
        <v>2</v>
      </c>
      <c r="L120" s="8">
        <v>-5006874641.1000004</v>
      </c>
      <c r="M120" s="8">
        <v>-6055009775.0600004</v>
      </c>
      <c r="N120" s="8">
        <v>-11061884416.16</v>
      </c>
      <c r="O120"/>
      <c r="P120" s="8">
        <f>+N120+O120</f>
        <v>-11061884416.16</v>
      </c>
    </row>
    <row r="121" spans="11:16" x14ac:dyDescent="0.25">
      <c r="K121" t="s">
        <v>26</v>
      </c>
      <c r="L121" s="8">
        <v>2780622550.5599999</v>
      </c>
      <c r="M121" s="8">
        <v>3509645382.27</v>
      </c>
      <c r="N121" s="8">
        <v>6290267932.8299999</v>
      </c>
      <c r="O121" s="8">
        <v>-3587692660.8699999</v>
      </c>
      <c r="P121" s="8">
        <f t="shared" ref="P121:P123" si="10">+N121+O121</f>
        <v>2702575271.96</v>
      </c>
    </row>
    <row r="122" spans="11:16" x14ac:dyDescent="0.25">
      <c r="K122" t="s">
        <v>27</v>
      </c>
      <c r="L122" s="8">
        <v>151178601.22</v>
      </c>
      <c r="M122" s="8">
        <v>636145394.21000004</v>
      </c>
      <c r="N122" s="8">
        <v>787323995.42999995</v>
      </c>
      <c r="O122"/>
      <c r="P122" s="8">
        <f t="shared" si="10"/>
        <v>787323995.42999995</v>
      </c>
    </row>
    <row r="123" spans="11:16" x14ac:dyDescent="0.25">
      <c r="K123" t="s">
        <v>8</v>
      </c>
      <c r="L123" s="8">
        <v>3139528365.54</v>
      </c>
      <c r="M123" s="8">
        <v>6767880373.5</v>
      </c>
      <c r="N123" s="8">
        <v>9907408739.0400009</v>
      </c>
      <c r="O123" s="8">
        <v>-2842305942.0700002</v>
      </c>
      <c r="P123" s="8">
        <f t="shared" si="10"/>
        <v>7065102796.9700012</v>
      </c>
    </row>
    <row r="124" spans="11:16" x14ac:dyDescent="0.25">
      <c r="K124" s="4" t="s">
        <v>9</v>
      </c>
      <c r="L124" s="9">
        <f>+SUM(L120:L123)</f>
        <v>1064454876.2199996</v>
      </c>
      <c r="M124" s="32">
        <f>+SUM(M120:M123)</f>
        <v>4858661374.9200001</v>
      </c>
      <c r="N124" s="32">
        <f>+SUM(N120:N123)</f>
        <v>5923116251.1400013</v>
      </c>
      <c r="O124" s="32">
        <f t="shared" ref="O124:P124" si="11">+SUM(O120:O123)</f>
        <v>-6429998602.9400005</v>
      </c>
      <c r="P124" s="32">
        <f t="shared" si="11"/>
        <v>-506882351.79999828</v>
      </c>
    </row>
    <row r="125" spans="11:16" x14ac:dyDescent="0.25">
      <c r="L125" s="10">
        <f>+L124/L120</f>
        <v>-0.21259866733674421</v>
      </c>
      <c r="M125" s="10">
        <f>+M124/M120</f>
        <v>-0.80242007121645886</v>
      </c>
      <c r="N125" s="10">
        <f t="shared" ref="N125" si="12">+N124/N120</f>
        <v>-0.53545273375728686</v>
      </c>
      <c r="P125" s="33">
        <v>498978093.99999964</v>
      </c>
    </row>
    <row r="126" spans="11:16" x14ac:dyDescent="0.25">
      <c r="K126" t="s">
        <v>31</v>
      </c>
      <c r="L126" s="8">
        <v>-1969881945.0599999</v>
      </c>
      <c r="M126" s="8">
        <f>-(2828656275.96-34909.34)</f>
        <v>-2828621366.6199999</v>
      </c>
      <c r="N126" s="31">
        <f>+M126+L126</f>
        <v>-4798503311.6800003</v>
      </c>
      <c r="O126" s="15">
        <v>2394599000</v>
      </c>
      <c r="P126" s="31">
        <f>+P125+P124</f>
        <v>-7904257.799998641</v>
      </c>
    </row>
    <row r="127" spans="11:16" x14ac:dyDescent="0.25">
      <c r="K127" s="4" t="s">
        <v>32</v>
      </c>
      <c r="L127" s="32">
        <f>+L124+L126</f>
        <v>-905427068.84000039</v>
      </c>
      <c r="M127" s="32">
        <f t="shared" ref="M127:N127" si="13">+M124+M126</f>
        <v>2030040008.3000002</v>
      </c>
      <c r="N127" s="32">
        <f t="shared" si="13"/>
        <v>1124612939.460001</v>
      </c>
      <c r="O127" s="10">
        <f>+O126/N126</f>
        <v>-0.49903039436720298</v>
      </c>
    </row>
    <row r="128" spans="11:16" x14ac:dyDescent="0.25">
      <c r="L128" s="10">
        <f>+L127/L120</f>
        <v>0.18083677618121469</v>
      </c>
      <c r="M128" s="10">
        <f t="shared" ref="M128:N128" si="14">+M127/M120</f>
        <v>-0.33526618184194162</v>
      </c>
      <c r="N128" s="10">
        <f t="shared" si="14"/>
        <v>-0.10166558401361392</v>
      </c>
    </row>
    <row r="129" spans="11:14" x14ac:dyDescent="0.25">
      <c r="K129" t="s">
        <v>95</v>
      </c>
      <c r="L129" s="31">
        <f>-M140</f>
        <v>-1260023331.4299998</v>
      </c>
      <c r="M129" s="31">
        <f>-L146-M146</f>
        <v>-3254917349.5699997</v>
      </c>
      <c r="N129" s="31">
        <f>+M129+L129</f>
        <v>-4514940681</v>
      </c>
    </row>
    <row r="130" spans="11:14" x14ac:dyDescent="0.25">
      <c r="K130" s="4" t="s">
        <v>107</v>
      </c>
      <c r="L130" s="32">
        <f>+L129+L127</f>
        <v>-2165450400.2700005</v>
      </c>
      <c r="M130" s="32">
        <f>+M129+M127</f>
        <v>-1224877341.2699995</v>
      </c>
      <c r="N130" s="32">
        <f>+N129+N127</f>
        <v>-3390327741.539999</v>
      </c>
    </row>
    <row r="131" spans="11:14" x14ac:dyDescent="0.25">
      <c r="K131" s="86" t="s">
        <v>108</v>
      </c>
      <c r="L131" s="85">
        <f>+L130/(L120+L129)</f>
        <v>0.34553784180976371</v>
      </c>
      <c r="M131" s="85">
        <f>+M130/(M120+M129)</f>
        <v>0.13156680228242701</v>
      </c>
      <c r="N131" s="85">
        <f>+N130/(N120+N129)</f>
        <v>0.21765203887139561</v>
      </c>
    </row>
    <row r="133" spans="11:14" x14ac:dyDescent="0.25">
      <c r="K133" s="4" t="s">
        <v>106</v>
      </c>
      <c r="L133" s="12" t="s">
        <v>14</v>
      </c>
      <c r="M133" s="12" t="s">
        <v>96</v>
      </c>
    </row>
    <row r="134" spans="11:14" x14ac:dyDescent="0.25">
      <c r="K134" t="s">
        <v>97</v>
      </c>
      <c r="M134" s="8">
        <v>73338.929999999993</v>
      </c>
    </row>
    <row r="135" spans="11:14" x14ac:dyDescent="0.25">
      <c r="K135" s="79" t="s">
        <v>99</v>
      </c>
      <c r="M135" s="8">
        <v>1137010315.4400001</v>
      </c>
    </row>
    <row r="136" spans="11:14" x14ac:dyDescent="0.25">
      <c r="K136" t="s">
        <v>98</v>
      </c>
      <c r="M136" s="8">
        <v>803084066.95000005</v>
      </c>
    </row>
    <row r="137" spans="11:14" x14ac:dyDescent="0.25">
      <c r="K137" s="82" t="s">
        <v>104</v>
      </c>
      <c r="L137" s="82"/>
      <c r="M137" s="83">
        <f>+M136+M135+M134</f>
        <v>1940167721.3200002</v>
      </c>
    </row>
    <row r="138" spans="11:14" x14ac:dyDescent="0.25">
      <c r="K138" t="s">
        <v>100</v>
      </c>
      <c r="M138" s="8">
        <v>1260023331.4300001</v>
      </c>
    </row>
    <row r="139" spans="11:14" x14ac:dyDescent="0.25">
      <c r="K139" s="82" t="s">
        <v>101</v>
      </c>
      <c r="L139" s="82"/>
      <c r="M139" s="84">
        <f>+M138+M137</f>
        <v>3200191052.75</v>
      </c>
    </row>
    <row r="140" spans="11:14" x14ac:dyDescent="0.25">
      <c r="K140" s="80" t="s">
        <v>102</v>
      </c>
      <c r="L140" s="80"/>
      <c r="M140" s="81">
        <f>+M139-M137</f>
        <v>1260023331.4299998</v>
      </c>
    </row>
    <row r="141" spans="11:14" x14ac:dyDescent="0.25">
      <c r="K141" t="s">
        <v>91</v>
      </c>
      <c r="L141" s="8">
        <f>292010709.19+22.84</f>
        <v>292010732.02999997</v>
      </c>
      <c r="M141" s="8">
        <v>1372455859.75</v>
      </c>
    </row>
    <row r="142" spans="11:14" x14ac:dyDescent="0.25">
      <c r="K142" t="s">
        <v>92</v>
      </c>
      <c r="L142" s="8">
        <v>572408239</v>
      </c>
      <c r="M142" s="8">
        <v>1921965210</v>
      </c>
    </row>
    <row r="143" spans="11:14" x14ac:dyDescent="0.25">
      <c r="K143" s="82" t="s">
        <v>105</v>
      </c>
      <c r="L143" s="84">
        <f>+L142+L141</f>
        <v>864418971.02999997</v>
      </c>
      <c r="M143" s="84">
        <f>+M142+M141+M138</f>
        <v>4554444401.1800003</v>
      </c>
    </row>
    <row r="144" spans="11:14" x14ac:dyDescent="0.25">
      <c r="K144" t="s">
        <v>93</v>
      </c>
      <c r="L144" s="8">
        <v>739618151</v>
      </c>
      <c r="M144" s="8">
        <v>3775322530</v>
      </c>
    </row>
    <row r="145" spans="11:13" x14ac:dyDescent="0.25">
      <c r="K145" s="82" t="s">
        <v>94</v>
      </c>
      <c r="L145" s="84">
        <f>+L144+L143</f>
        <v>1604037122.03</v>
      </c>
      <c r="M145" s="83">
        <f>+M141+M144+M142</f>
        <v>7069743599.75</v>
      </c>
    </row>
    <row r="146" spans="11:13" x14ac:dyDescent="0.25">
      <c r="K146" s="80" t="s">
        <v>103</v>
      </c>
      <c r="L146" s="81">
        <f>+L145-L143</f>
        <v>739618151</v>
      </c>
      <c r="M146" s="81">
        <f>+M145-M143</f>
        <v>2515299198.5699997</v>
      </c>
    </row>
    <row r="147" spans="11:13" x14ac:dyDescent="0.25">
      <c r="M147" s="31"/>
    </row>
  </sheetData>
  <mergeCells count="2">
    <mergeCell ref="G38:K38"/>
    <mergeCell ref="C38:F38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D58E6-15CC-4296-9B80-6262277DC854}">
  <dimension ref="A1:XFA50"/>
  <sheetViews>
    <sheetView showGridLines="0" zoomScaleNormal="100" workbookViewId="0">
      <pane xSplit="1" ySplit="1" topLeftCell="B21" activePane="bottomRight" state="frozen"/>
      <selection pane="topRight" activeCell="B1" sqref="B1"/>
      <selection pane="bottomLeft" activeCell="A2" sqref="A2"/>
      <selection pane="bottomRight" activeCell="A26" sqref="A26"/>
    </sheetView>
  </sheetViews>
  <sheetFormatPr baseColWidth="10" defaultColWidth="11.42578125" defaultRowHeight="12" outlineLevelCol="1" x14ac:dyDescent="0.25"/>
  <cols>
    <col min="1" max="1" width="32.28515625" style="39" customWidth="1"/>
    <col min="2" max="2" width="8" style="74" bestFit="1" customWidth="1"/>
    <col min="3" max="3" width="8.28515625" style="75" customWidth="1"/>
    <col min="4" max="5" width="8.85546875" style="75" bestFit="1" customWidth="1"/>
    <col min="6" max="6" width="7.42578125" style="54" bestFit="1" customWidth="1"/>
    <col min="7" max="7" width="6.140625" style="75" customWidth="1"/>
    <col min="8" max="8" width="5.7109375" style="75" hidden="1" customWidth="1" outlineLevel="1"/>
    <col min="9" max="9" width="7.85546875" style="75" hidden="1" customWidth="1" outlineLevel="1"/>
    <col min="10" max="10" width="11" style="75" hidden="1" customWidth="1" outlineLevel="1"/>
    <col min="11" max="13" width="10.7109375" style="75" hidden="1" customWidth="1" outlineLevel="1"/>
    <col min="14" max="14" width="11.7109375" style="75" bestFit="1" customWidth="1" collapsed="1"/>
    <col min="15" max="15" width="6.28515625" style="43" hidden="1" customWidth="1"/>
    <col min="16" max="16" width="7" style="43" hidden="1" customWidth="1"/>
    <col min="17" max="17" width="14.140625" style="39" bestFit="1" customWidth="1"/>
    <col min="18" max="16384" width="11.42578125" style="39"/>
  </cols>
  <sheetData>
    <row r="1" spans="1:1023 1037:2045 2059:3067 3081:4089 4103:5111 5125:6133 6147:7155 7169:8191 8205:9213 9227:10235 10249:11257 11271:12279 12293:13301 13315:14323 14337:15359 15373:16381" ht="12.95" customHeight="1" x14ac:dyDescent="0.25">
      <c r="A1" s="34" t="s">
        <v>33</v>
      </c>
      <c r="B1" s="35" t="s">
        <v>34</v>
      </c>
      <c r="C1" s="36" t="s">
        <v>35</v>
      </c>
      <c r="D1" s="36" t="s">
        <v>36</v>
      </c>
      <c r="E1" s="36" t="s">
        <v>37</v>
      </c>
      <c r="F1" s="37" t="s">
        <v>38</v>
      </c>
      <c r="G1" s="36" t="s">
        <v>39</v>
      </c>
      <c r="H1" s="36" t="s">
        <v>40</v>
      </c>
      <c r="I1" s="36" t="s">
        <v>41</v>
      </c>
      <c r="J1" s="36" t="s">
        <v>42</v>
      </c>
      <c r="K1" s="36" t="s">
        <v>43</v>
      </c>
      <c r="L1" s="36" t="s">
        <v>44</v>
      </c>
      <c r="M1" s="36" t="s">
        <v>45</v>
      </c>
      <c r="N1" s="36" t="s">
        <v>46</v>
      </c>
      <c r="O1" s="38" t="s">
        <v>47</v>
      </c>
      <c r="P1" s="38" t="s">
        <v>48</v>
      </c>
    </row>
    <row r="2" spans="1:1023 1037:2045 2059:3067 3081:4089 4103:5111 5125:6133 6147:7155 7169:8191 8205:9213 9227:10235 10249:11257 11271:12279 12293:13301 13315:14323 14337:15359 15373:16381" ht="12.95" customHeight="1" x14ac:dyDescent="0.25">
      <c r="A2" s="40" t="s">
        <v>49</v>
      </c>
      <c r="B2" s="41">
        <v>1142658987.05</v>
      </c>
      <c r="C2" s="41">
        <v>1542229434</v>
      </c>
      <c r="D2" s="41">
        <v>2519975271</v>
      </c>
      <c r="E2" s="41">
        <v>2006150523</v>
      </c>
      <c r="F2" s="41">
        <v>2687859452</v>
      </c>
      <c r="G2" s="41">
        <v>4383105249</v>
      </c>
      <c r="H2" s="41"/>
      <c r="I2" s="41"/>
      <c r="J2" s="41"/>
      <c r="K2" s="41"/>
      <c r="L2" s="41"/>
      <c r="M2" s="41"/>
      <c r="N2" s="42">
        <f>SUM(B2:M2)</f>
        <v>14281978916.049999</v>
      </c>
      <c r="O2" s="43">
        <f>+N2/$N$5</f>
        <v>0.9902521825408549</v>
      </c>
      <c r="P2" s="43" t="e">
        <f>+J2/I2-1</f>
        <v>#DIV/0!</v>
      </c>
      <c r="Q2" s="44"/>
    </row>
    <row r="3" spans="1:1023 1037:2045 2059:3067 3081:4089 4103:5111 5125:6133 6147:7155 7169:8191 8205:9213 9227:10235 10249:11257 11271:12279 12293:13301 13315:14323 14337:15359 15373:16381" ht="12.95" customHeight="1" x14ac:dyDescent="0.25">
      <c r="A3" s="45" t="s">
        <v>50</v>
      </c>
      <c r="B3" s="41" t="s">
        <v>1</v>
      </c>
      <c r="C3" s="41" t="s">
        <v>1</v>
      </c>
      <c r="D3" s="41" t="s">
        <v>1</v>
      </c>
      <c r="E3" s="41" t="s">
        <v>1</v>
      </c>
      <c r="F3" s="41" t="s">
        <v>1</v>
      </c>
      <c r="G3" s="41">
        <v>1466833</v>
      </c>
      <c r="H3" s="41"/>
      <c r="I3" s="41"/>
      <c r="J3" s="41"/>
      <c r="K3" s="41"/>
      <c r="L3" s="41"/>
      <c r="M3" s="41"/>
      <c r="N3" s="42">
        <f>SUM(B3:M3)</f>
        <v>1466833</v>
      </c>
      <c r="O3" s="43">
        <f t="shared" ref="O3:O5" si="0">+N3/$N$5</f>
        <v>1.0170401372323834E-4</v>
      </c>
      <c r="P3" s="46"/>
    </row>
    <row r="4" spans="1:1023 1037:2045 2059:3067 3081:4089 4103:5111 5125:6133 6147:7155 7169:8191 8205:9213 9227:10235 10249:11257 11271:12279 12293:13301 13315:14323 14337:15359 15373:16381" ht="12.95" customHeight="1" x14ac:dyDescent="0.25">
      <c r="A4" s="40" t="s">
        <v>51</v>
      </c>
      <c r="B4" s="41">
        <v>2349853</v>
      </c>
      <c r="C4" s="41">
        <v>50146176</v>
      </c>
      <c r="D4" s="41">
        <v>18263500</v>
      </c>
      <c r="E4" s="41">
        <v>870000</v>
      </c>
      <c r="F4" s="41">
        <v>51888693</v>
      </c>
      <c r="G4" s="41">
        <v>15603500</v>
      </c>
      <c r="H4" s="41"/>
      <c r="I4" s="41"/>
      <c r="J4" s="41"/>
      <c r="K4" s="41"/>
      <c r="L4" s="41"/>
      <c r="M4" s="41"/>
      <c r="N4" s="42">
        <f>SUM(B4:M4)</f>
        <v>139121722</v>
      </c>
      <c r="O4" s="43">
        <f t="shared" si="0"/>
        <v>9.6461134454219055E-3</v>
      </c>
      <c r="P4" s="43" t="e">
        <f t="shared" ref="P4" si="1">+J4/I4-1</f>
        <v>#DIV/0!</v>
      </c>
      <c r="Q4" s="44"/>
    </row>
    <row r="5" spans="1:1023 1037:2045 2059:3067 3081:4089 4103:5111 5125:6133 6147:7155 7169:8191 8205:9213 9227:10235 10249:11257 11271:12279 12293:13301 13315:14323 14337:15359 15373:16381" s="50" customFormat="1" ht="12.95" customHeight="1" x14ac:dyDescent="0.25">
      <c r="A5" s="47" t="s">
        <v>52</v>
      </c>
      <c r="B5" s="48">
        <f t="shared" ref="B5:H5" si="2">+SUM(B2:B4)</f>
        <v>1145008840.05</v>
      </c>
      <c r="C5" s="48">
        <f t="shared" si="2"/>
        <v>1592375610</v>
      </c>
      <c r="D5" s="48">
        <f t="shared" si="2"/>
        <v>2538238771</v>
      </c>
      <c r="E5" s="48">
        <f t="shared" si="2"/>
        <v>2007020523</v>
      </c>
      <c r="F5" s="48">
        <f>+SUM(F2:F4)</f>
        <v>2739748145</v>
      </c>
      <c r="G5" s="48">
        <f>+SUM(G2:G4)</f>
        <v>4400175582</v>
      </c>
      <c r="H5" s="48">
        <f t="shared" si="2"/>
        <v>0</v>
      </c>
      <c r="I5" s="48">
        <f t="shared" ref="I5:M5" si="3">+SUM(I2:I4)</f>
        <v>0</v>
      </c>
      <c r="J5" s="48">
        <f t="shared" si="3"/>
        <v>0</v>
      </c>
      <c r="K5" s="48">
        <f>+SUM(K2:K4)</f>
        <v>0</v>
      </c>
      <c r="L5" s="49">
        <f>+SUM(L2:L4)</f>
        <v>0</v>
      </c>
      <c r="M5" s="48">
        <f t="shared" si="3"/>
        <v>0</v>
      </c>
      <c r="N5" s="48">
        <f>+SUM(N2:N4)</f>
        <v>14422567471.049999</v>
      </c>
      <c r="O5" s="38">
        <f t="shared" si="0"/>
        <v>1</v>
      </c>
      <c r="P5" s="38" t="e">
        <f>+J5/I5-1</f>
        <v>#DIV/0!</v>
      </c>
      <c r="Q5" s="48">
        <f>+AVERAGE(B5:D5)</f>
        <v>1758541073.6833334</v>
      </c>
      <c r="R5" s="48">
        <f>+AVERAGE(E5:G5)</f>
        <v>3048981416.6666665</v>
      </c>
      <c r="S5" s="78">
        <f>+R5/Q5-1</f>
        <v>0.73381302392923642</v>
      </c>
      <c r="AC5" s="51"/>
      <c r="AQ5" s="51"/>
      <c r="BE5" s="51"/>
      <c r="BS5" s="51"/>
      <c r="CG5" s="51"/>
      <c r="CU5" s="51"/>
      <c r="DI5" s="51"/>
      <c r="DW5" s="51"/>
      <c r="EK5" s="51"/>
      <c r="EY5" s="51"/>
      <c r="FM5" s="51"/>
      <c r="GA5" s="51"/>
      <c r="GO5" s="51"/>
      <c r="HC5" s="51"/>
      <c r="HQ5" s="51"/>
      <c r="IE5" s="51"/>
      <c r="IS5" s="51"/>
      <c r="JG5" s="51"/>
      <c r="JU5" s="51"/>
      <c r="KI5" s="51"/>
      <c r="KW5" s="51"/>
      <c r="LK5" s="51"/>
      <c r="LY5" s="51"/>
      <c r="MM5" s="51"/>
      <c r="NA5" s="51"/>
      <c r="NO5" s="51"/>
      <c r="OC5" s="51"/>
      <c r="OQ5" s="51"/>
      <c r="PE5" s="51"/>
      <c r="PS5" s="51"/>
      <c r="QG5" s="51"/>
      <c r="QU5" s="51"/>
      <c r="RI5" s="51"/>
      <c r="RW5" s="51"/>
      <c r="SK5" s="51"/>
      <c r="SY5" s="51"/>
      <c r="TM5" s="51"/>
      <c r="UA5" s="51"/>
      <c r="UO5" s="51"/>
      <c r="VC5" s="51"/>
      <c r="VQ5" s="51"/>
      <c r="WE5" s="51"/>
      <c r="WS5" s="51"/>
      <c r="XG5" s="51"/>
      <c r="XU5" s="51"/>
      <c r="YI5" s="51"/>
      <c r="YW5" s="51"/>
      <c r="ZK5" s="51"/>
      <c r="ZY5" s="51"/>
      <c r="AAM5" s="51"/>
      <c r="ABA5" s="51"/>
      <c r="ABO5" s="51"/>
      <c r="ACC5" s="51"/>
      <c r="ACQ5" s="51"/>
      <c r="ADE5" s="51"/>
      <c r="ADS5" s="51"/>
      <c r="AEG5" s="51"/>
      <c r="AEU5" s="51"/>
      <c r="AFI5" s="51"/>
      <c r="AFW5" s="51"/>
      <c r="AGK5" s="51"/>
      <c r="AGY5" s="51"/>
      <c r="AHM5" s="51"/>
      <c r="AIA5" s="51"/>
      <c r="AIO5" s="51"/>
      <c r="AJC5" s="51"/>
      <c r="AJQ5" s="51"/>
      <c r="AKE5" s="51"/>
      <c r="AKS5" s="51"/>
      <c r="ALG5" s="51"/>
      <c r="ALU5" s="51"/>
      <c r="AMI5" s="51"/>
      <c r="AMW5" s="51"/>
      <c r="ANK5" s="51"/>
      <c r="ANY5" s="51"/>
      <c r="AOM5" s="51"/>
      <c r="APA5" s="51"/>
      <c r="APO5" s="51"/>
      <c r="AQC5" s="51"/>
      <c r="AQQ5" s="51"/>
      <c r="ARE5" s="51"/>
      <c r="ARS5" s="51"/>
      <c r="ASG5" s="51"/>
      <c r="ASU5" s="51"/>
      <c r="ATI5" s="51"/>
      <c r="ATW5" s="51"/>
      <c r="AUK5" s="51"/>
      <c r="AUY5" s="51"/>
      <c r="AVM5" s="51"/>
      <c r="AWA5" s="51"/>
      <c r="AWO5" s="51"/>
      <c r="AXC5" s="51"/>
      <c r="AXQ5" s="51"/>
      <c r="AYE5" s="51"/>
      <c r="AYS5" s="51"/>
      <c r="AZG5" s="51"/>
      <c r="AZU5" s="51"/>
      <c r="BAI5" s="51"/>
      <c r="BAW5" s="51"/>
      <c r="BBK5" s="51"/>
      <c r="BBY5" s="51"/>
      <c r="BCM5" s="51"/>
      <c r="BDA5" s="51"/>
      <c r="BDO5" s="51"/>
      <c r="BEC5" s="51"/>
      <c r="BEQ5" s="51"/>
      <c r="BFE5" s="51"/>
      <c r="BFS5" s="51"/>
      <c r="BGG5" s="51"/>
      <c r="BGU5" s="51"/>
      <c r="BHI5" s="51"/>
      <c r="BHW5" s="51"/>
      <c r="BIK5" s="51"/>
      <c r="BIY5" s="51"/>
      <c r="BJM5" s="51"/>
      <c r="BKA5" s="51"/>
      <c r="BKO5" s="51"/>
      <c r="BLC5" s="51"/>
      <c r="BLQ5" s="51"/>
      <c r="BME5" s="51"/>
      <c r="BMS5" s="51"/>
      <c r="BNG5" s="51"/>
      <c r="BNU5" s="51"/>
      <c r="BOI5" s="51"/>
      <c r="BOW5" s="51"/>
      <c r="BPK5" s="51"/>
      <c r="BPY5" s="51"/>
      <c r="BQM5" s="51"/>
      <c r="BRA5" s="51"/>
      <c r="BRO5" s="51"/>
      <c r="BSC5" s="51"/>
      <c r="BSQ5" s="51"/>
      <c r="BTE5" s="51"/>
      <c r="BTS5" s="51"/>
      <c r="BUG5" s="51"/>
      <c r="BUU5" s="51"/>
      <c r="BVI5" s="51"/>
      <c r="BVW5" s="51"/>
      <c r="BWK5" s="51"/>
      <c r="BWY5" s="51"/>
      <c r="BXM5" s="51"/>
      <c r="BYA5" s="51"/>
      <c r="BYO5" s="51"/>
      <c r="BZC5" s="51"/>
      <c r="BZQ5" s="51"/>
      <c r="CAE5" s="51"/>
      <c r="CAS5" s="51"/>
      <c r="CBG5" s="51"/>
      <c r="CBU5" s="51"/>
      <c r="CCI5" s="51"/>
      <c r="CCW5" s="51"/>
      <c r="CDK5" s="51"/>
      <c r="CDY5" s="51"/>
      <c r="CEM5" s="51"/>
      <c r="CFA5" s="51"/>
      <c r="CFO5" s="51"/>
      <c r="CGC5" s="51"/>
      <c r="CGQ5" s="51"/>
      <c r="CHE5" s="51"/>
      <c r="CHS5" s="51"/>
      <c r="CIG5" s="51"/>
      <c r="CIU5" s="51"/>
      <c r="CJI5" s="51"/>
      <c r="CJW5" s="51"/>
      <c r="CKK5" s="51"/>
      <c r="CKY5" s="51"/>
      <c r="CLM5" s="51"/>
      <c r="CMA5" s="51"/>
      <c r="CMO5" s="51"/>
      <c r="CNC5" s="51"/>
      <c r="CNQ5" s="51"/>
      <c r="COE5" s="51"/>
      <c r="COS5" s="51"/>
      <c r="CPG5" s="51"/>
      <c r="CPU5" s="51"/>
      <c r="CQI5" s="51"/>
      <c r="CQW5" s="51"/>
      <c r="CRK5" s="51"/>
      <c r="CRY5" s="51"/>
      <c r="CSM5" s="51"/>
      <c r="CTA5" s="51"/>
      <c r="CTO5" s="51"/>
      <c r="CUC5" s="51"/>
      <c r="CUQ5" s="51"/>
      <c r="CVE5" s="51"/>
      <c r="CVS5" s="51"/>
      <c r="CWG5" s="51"/>
      <c r="CWU5" s="51"/>
      <c r="CXI5" s="51"/>
      <c r="CXW5" s="51"/>
      <c r="CYK5" s="51"/>
      <c r="CYY5" s="51"/>
      <c r="CZM5" s="51"/>
      <c r="DAA5" s="51"/>
      <c r="DAO5" s="51"/>
      <c r="DBC5" s="51"/>
      <c r="DBQ5" s="51"/>
      <c r="DCE5" s="51"/>
      <c r="DCS5" s="51"/>
      <c r="DDG5" s="51"/>
      <c r="DDU5" s="51"/>
      <c r="DEI5" s="51"/>
      <c r="DEW5" s="51"/>
      <c r="DFK5" s="51"/>
      <c r="DFY5" s="51"/>
      <c r="DGM5" s="51"/>
      <c r="DHA5" s="51"/>
      <c r="DHO5" s="51"/>
      <c r="DIC5" s="51"/>
      <c r="DIQ5" s="51"/>
      <c r="DJE5" s="51"/>
      <c r="DJS5" s="51"/>
      <c r="DKG5" s="51"/>
      <c r="DKU5" s="51"/>
      <c r="DLI5" s="51"/>
      <c r="DLW5" s="51"/>
      <c r="DMK5" s="51"/>
      <c r="DMY5" s="51"/>
      <c r="DNM5" s="51"/>
      <c r="DOA5" s="51"/>
      <c r="DOO5" s="51"/>
      <c r="DPC5" s="51"/>
      <c r="DPQ5" s="51"/>
      <c r="DQE5" s="51"/>
      <c r="DQS5" s="51"/>
      <c r="DRG5" s="51"/>
      <c r="DRU5" s="51"/>
      <c r="DSI5" s="51"/>
      <c r="DSW5" s="51"/>
      <c r="DTK5" s="51"/>
      <c r="DTY5" s="51"/>
      <c r="DUM5" s="51"/>
      <c r="DVA5" s="51"/>
      <c r="DVO5" s="51"/>
      <c r="DWC5" s="51"/>
      <c r="DWQ5" s="51"/>
      <c r="DXE5" s="51"/>
      <c r="DXS5" s="51"/>
      <c r="DYG5" s="51"/>
      <c r="DYU5" s="51"/>
      <c r="DZI5" s="51"/>
      <c r="DZW5" s="51"/>
      <c r="EAK5" s="51"/>
      <c r="EAY5" s="51"/>
      <c r="EBM5" s="51"/>
      <c r="ECA5" s="51"/>
      <c r="ECO5" s="51"/>
      <c r="EDC5" s="51"/>
      <c r="EDQ5" s="51"/>
      <c r="EEE5" s="51"/>
      <c r="EES5" s="51"/>
      <c r="EFG5" s="51"/>
      <c r="EFU5" s="51"/>
      <c r="EGI5" s="51"/>
      <c r="EGW5" s="51"/>
      <c r="EHK5" s="51"/>
      <c r="EHY5" s="51"/>
      <c r="EIM5" s="51"/>
      <c r="EJA5" s="51"/>
      <c r="EJO5" s="51"/>
      <c r="EKC5" s="51"/>
      <c r="EKQ5" s="51"/>
      <c r="ELE5" s="51"/>
      <c r="ELS5" s="51"/>
      <c r="EMG5" s="51"/>
      <c r="EMU5" s="51"/>
      <c r="ENI5" s="51"/>
      <c r="ENW5" s="51"/>
      <c r="EOK5" s="51"/>
      <c r="EOY5" s="51"/>
      <c r="EPM5" s="51"/>
      <c r="EQA5" s="51"/>
      <c r="EQO5" s="51"/>
      <c r="ERC5" s="51"/>
      <c r="ERQ5" s="51"/>
      <c r="ESE5" s="51"/>
      <c r="ESS5" s="51"/>
      <c r="ETG5" s="51"/>
      <c r="ETU5" s="51"/>
      <c r="EUI5" s="51"/>
      <c r="EUW5" s="51"/>
      <c r="EVK5" s="51"/>
      <c r="EVY5" s="51"/>
      <c r="EWM5" s="51"/>
      <c r="EXA5" s="51"/>
      <c r="EXO5" s="51"/>
      <c r="EYC5" s="51"/>
      <c r="EYQ5" s="51"/>
      <c r="EZE5" s="51"/>
      <c r="EZS5" s="51"/>
      <c r="FAG5" s="51"/>
      <c r="FAU5" s="51"/>
      <c r="FBI5" s="51"/>
      <c r="FBW5" s="51"/>
      <c r="FCK5" s="51"/>
      <c r="FCY5" s="51"/>
      <c r="FDM5" s="51"/>
      <c r="FEA5" s="51"/>
      <c r="FEO5" s="51"/>
      <c r="FFC5" s="51"/>
      <c r="FFQ5" s="51"/>
      <c r="FGE5" s="51"/>
      <c r="FGS5" s="51"/>
      <c r="FHG5" s="51"/>
      <c r="FHU5" s="51"/>
      <c r="FII5" s="51"/>
      <c r="FIW5" s="51"/>
      <c r="FJK5" s="51"/>
      <c r="FJY5" s="51"/>
      <c r="FKM5" s="51"/>
      <c r="FLA5" s="51"/>
      <c r="FLO5" s="51"/>
      <c r="FMC5" s="51"/>
      <c r="FMQ5" s="51"/>
      <c r="FNE5" s="51"/>
      <c r="FNS5" s="51"/>
      <c r="FOG5" s="51"/>
      <c r="FOU5" s="51"/>
      <c r="FPI5" s="51"/>
      <c r="FPW5" s="51"/>
      <c r="FQK5" s="51"/>
      <c r="FQY5" s="51"/>
      <c r="FRM5" s="51"/>
      <c r="FSA5" s="51"/>
      <c r="FSO5" s="51"/>
      <c r="FTC5" s="51"/>
      <c r="FTQ5" s="51"/>
      <c r="FUE5" s="51"/>
      <c r="FUS5" s="51"/>
      <c r="FVG5" s="51"/>
      <c r="FVU5" s="51"/>
      <c r="FWI5" s="51"/>
      <c r="FWW5" s="51"/>
      <c r="FXK5" s="51"/>
      <c r="FXY5" s="51"/>
      <c r="FYM5" s="51"/>
      <c r="FZA5" s="51"/>
      <c r="FZO5" s="51"/>
      <c r="GAC5" s="51"/>
      <c r="GAQ5" s="51"/>
      <c r="GBE5" s="51"/>
      <c r="GBS5" s="51"/>
      <c r="GCG5" s="51"/>
      <c r="GCU5" s="51"/>
      <c r="GDI5" s="51"/>
      <c r="GDW5" s="51"/>
      <c r="GEK5" s="51"/>
      <c r="GEY5" s="51"/>
      <c r="GFM5" s="51"/>
      <c r="GGA5" s="51"/>
      <c r="GGO5" s="51"/>
      <c r="GHC5" s="51"/>
      <c r="GHQ5" s="51"/>
      <c r="GIE5" s="51"/>
      <c r="GIS5" s="51"/>
      <c r="GJG5" s="51"/>
      <c r="GJU5" s="51"/>
      <c r="GKI5" s="51"/>
      <c r="GKW5" s="51"/>
      <c r="GLK5" s="51"/>
      <c r="GLY5" s="51"/>
      <c r="GMM5" s="51"/>
      <c r="GNA5" s="51"/>
      <c r="GNO5" s="51"/>
      <c r="GOC5" s="51"/>
      <c r="GOQ5" s="51"/>
      <c r="GPE5" s="51"/>
      <c r="GPS5" s="51"/>
      <c r="GQG5" s="51"/>
      <c r="GQU5" s="51"/>
      <c r="GRI5" s="51"/>
      <c r="GRW5" s="51"/>
      <c r="GSK5" s="51"/>
      <c r="GSY5" s="51"/>
      <c r="GTM5" s="51"/>
      <c r="GUA5" s="51"/>
      <c r="GUO5" s="51"/>
      <c r="GVC5" s="51"/>
      <c r="GVQ5" s="51"/>
      <c r="GWE5" s="51"/>
      <c r="GWS5" s="51"/>
      <c r="GXG5" s="51"/>
      <c r="GXU5" s="51"/>
      <c r="GYI5" s="51"/>
      <c r="GYW5" s="51"/>
      <c r="GZK5" s="51"/>
      <c r="GZY5" s="51"/>
      <c r="HAM5" s="51"/>
      <c r="HBA5" s="51"/>
      <c r="HBO5" s="51"/>
      <c r="HCC5" s="51"/>
      <c r="HCQ5" s="51"/>
      <c r="HDE5" s="51"/>
      <c r="HDS5" s="51"/>
      <c r="HEG5" s="51"/>
      <c r="HEU5" s="51"/>
      <c r="HFI5" s="51"/>
      <c r="HFW5" s="51"/>
      <c r="HGK5" s="51"/>
      <c r="HGY5" s="51"/>
      <c r="HHM5" s="51"/>
      <c r="HIA5" s="51"/>
      <c r="HIO5" s="51"/>
      <c r="HJC5" s="51"/>
      <c r="HJQ5" s="51"/>
      <c r="HKE5" s="51"/>
      <c r="HKS5" s="51"/>
      <c r="HLG5" s="51"/>
      <c r="HLU5" s="51"/>
      <c r="HMI5" s="51"/>
      <c r="HMW5" s="51"/>
      <c r="HNK5" s="51"/>
      <c r="HNY5" s="51"/>
      <c r="HOM5" s="51"/>
      <c r="HPA5" s="51"/>
      <c r="HPO5" s="51"/>
      <c r="HQC5" s="51"/>
      <c r="HQQ5" s="51"/>
      <c r="HRE5" s="51"/>
      <c r="HRS5" s="51"/>
      <c r="HSG5" s="51"/>
      <c r="HSU5" s="51"/>
      <c r="HTI5" s="51"/>
      <c r="HTW5" s="51"/>
      <c r="HUK5" s="51"/>
      <c r="HUY5" s="51"/>
      <c r="HVM5" s="51"/>
      <c r="HWA5" s="51"/>
      <c r="HWO5" s="51"/>
      <c r="HXC5" s="51"/>
      <c r="HXQ5" s="51"/>
      <c r="HYE5" s="51"/>
      <c r="HYS5" s="51"/>
      <c r="HZG5" s="51"/>
      <c r="HZU5" s="51"/>
      <c r="IAI5" s="51"/>
      <c r="IAW5" s="51"/>
      <c r="IBK5" s="51"/>
      <c r="IBY5" s="51"/>
      <c r="ICM5" s="51"/>
      <c r="IDA5" s="51"/>
      <c r="IDO5" s="51"/>
      <c r="IEC5" s="51"/>
      <c r="IEQ5" s="51"/>
      <c r="IFE5" s="51"/>
      <c r="IFS5" s="51"/>
      <c r="IGG5" s="51"/>
      <c r="IGU5" s="51"/>
      <c r="IHI5" s="51"/>
      <c r="IHW5" s="51"/>
      <c r="IIK5" s="51"/>
      <c r="IIY5" s="51"/>
      <c r="IJM5" s="51"/>
      <c r="IKA5" s="51"/>
      <c r="IKO5" s="51"/>
      <c r="ILC5" s="51"/>
      <c r="ILQ5" s="51"/>
      <c r="IME5" s="51"/>
      <c r="IMS5" s="51"/>
      <c r="ING5" s="51"/>
      <c r="INU5" s="51"/>
      <c r="IOI5" s="51"/>
      <c r="IOW5" s="51"/>
      <c r="IPK5" s="51"/>
      <c r="IPY5" s="51"/>
      <c r="IQM5" s="51"/>
      <c r="IRA5" s="51"/>
      <c r="IRO5" s="51"/>
      <c r="ISC5" s="51"/>
      <c r="ISQ5" s="51"/>
      <c r="ITE5" s="51"/>
      <c r="ITS5" s="51"/>
      <c r="IUG5" s="51"/>
      <c r="IUU5" s="51"/>
      <c r="IVI5" s="51"/>
      <c r="IVW5" s="51"/>
      <c r="IWK5" s="51"/>
      <c r="IWY5" s="51"/>
      <c r="IXM5" s="51"/>
      <c r="IYA5" s="51"/>
      <c r="IYO5" s="51"/>
      <c r="IZC5" s="51"/>
      <c r="IZQ5" s="51"/>
      <c r="JAE5" s="51"/>
      <c r="JAS5" s="51"/>
      <c r="JBG5" s="51"/>
      <c r="JBU5" s="51"/>
      <c r="JCI5" s="51"/>
      <c r="JCW5" s="51"/>
      <c r="JDK5" s="51"/>
      <c r="JDY5" s="51"/>
      <c r="JEM5" s="51"/>
      <c r="JFA5" s="51"/>
      <c r="JFO5" s="51"/>
      <c r="JGC5" s="51"/>
      <c r="JGQ5" s="51"/>
      <c r="JHE5" s="51"/>
      <c r="JHS5" s="51"/>
      <c r="JIG5" s="51"/>
      <c r="JIU5" s="51"/>
      <c r="JJI5" s="51"/>
      <c r="JJW5" s="51"/>
      <c r="JKK5" s="51"/>
      <c r="JKY5" s="51"/>
      <c r="JLM5" s="51"/>
      <c r="JMA5" s="51"/>
      <c r="JMO5" s="51"/>
      <c r="JNC5" s="51"/>
      <c r="JNQ5" s="51"/>
      <c r="JOE5" s="51"/>
      <c r="JOS5" s="51"/>
      <c r="JPG5" s="51"/>
      <c r="JPU5" s="51"/>
      <c r="JQI5" s="51"/>
      <c r="JQW5" s="51"/>
      <c r="JRK5" s="51"/>
      <c r="JRY5" s="51"/>
      <c r="JSM5" s="51"/>
      <c r="JTA5" s="51"/>
      <c r="JTO5" s="51"/>
      <c r="JUC5" s="51"/>
      <c r="JUQ5" s="51"/>
      <c r="JVE5" s="51"/>
      <c r="JVS5" s="51"/>
      <c r="JWG5" s="51"/>
      <c r="JWU5" s="51"/>
      <c r="JXI5" s="51"/>
      <c r="JXW5" s="51"/>
      <c r="JYK5" s="51"/>
      <c r="JYY5" s="51"/>
      <c r="JZM5" s="51"/>
      <c r="KAA5" s="51"/>
      <c r="KAO5" s="51"/>
      <c r="KBC5" s="51"/>
      <c r="KBQ5" s="51"/>
      <c r="KCE5" s="51"/>
      <c r="KCS5" s="51"/>
      <c r="KDG5" s="51"/>
      <c r="KDU5" s="51"/>
      <c r="KEI5" s="51"/>
      <c r="KEW5" s="51"/>
      <c r="KFK5" s="51"/>
      <c r="KFY5" s="51"/>
      <c r="KGM5" s="51"/>
      <c r="KHA5" s="51"/>
      <c r="KHO5" s="51"/>
      <c r="KIC5" s="51"/>
      <c r="KIQ5" s="51"/>
      <c r="KJE5" s="51"/>
      <c r="KJS5" s="51"/>
      <c r="KKG5" s="51"/>
      <c r="KKU5" s="51"/>
      <c r="KLI5" s="51"/>
      <c r="KLW5" s="51"/>
      <c r="KMK5" s="51"/>
      <c r="KMY5" s="51"/>
      <c r="KNM5" s="51"/>
      <c r="KOA5" s="51"/>
      <c r="KOO5" s="51"/>
      <c r="KPC5" s="51"/>
      <c r="KPQ5" s="51"/>
      <c r="KQE5" s="51"/>
      <c r="KQS5" s="51"/>
      <c r="KRG5" s="51"/>
      <c r="KRU5" s="51"/>
      <c r="KSI5" s="51"/>
      <c r="KSW5" s="51"/>
      <c r="KTK5" s="51"/>
      <c r="KTY5" s="51"/>
      <c r="KUM5" s="51"/>
      <c r="KVA5" s="51"/>
      <c r="KVO5" s="51"/>
      <c r="KWC5" s="51"/>
      <c r="KWQ5" s="51"/>
      <c r="KXE5" s="51"/>
      <c r="KXS5" s="51"/>
      <c r="KYG5" s="51"/>
      <c r="KYU5" s="51"/>
      <c r="KZI5" s="51"/>
      <c r="KZW5" s="51"/>
      <c r="LAK5" s="51"/>
      <c r="LAY5" s="51"/>
      <c r="LBM5" s="51"/>
      <c r="LCA5" s="51"/>
      <c r="LCO5" s="51"/>
      <c r="LDC5" s="51"/>
      <c r="LDQ5" s="51"/>
      <c r="LEE5" s="51"/>
      <c r="LES5" s="51"/>
      <c r="LFG5" s="51"/>
      <c r="LFU5" s="51"/>
      <c r="LGI5" s="51"/>
      <c r="LGW5" s="51"/>
      <c r="LHK5" s="51"/>
      <c r="LHY5" s="51"/>
      <c r="LIM5" s="51"/>
      <c r="LJA5" s="51"/>
      <c r="LJO5" s="51"/>
      <c r="LKC5" s="51"/>
      <c r="LKQ5" s="51"/>
      <c r="LLE5" s="51"/>
      <c r="LLS5" s="51"/>
      <c r="LMG5" s="51"/>
      <c r="LMU5" s="51"/>
      <c r="LNI5" s="51"/>
      <c r="LNW5" s="51"/>
      <c r="LOK5" s="51"/>
      <c r="LOY5" s="51"/>
      <c r="LPM5" s="51"/>
      <c r="LQA5" s="51"/>
      <c r="LQO5" s="51"/>
      <c r="LRC5" s="51"/>
      <c r="LRQ5" s="51"/>
      <c r="LSE5" s="51"/>
      <c r="LSS5" s="51"/>
      <c r="LTG5" s="51"/>
      <c r="LTU5" s="51"/>
      <c r="LUI5" s="51"/>
      <c r="LUW5" s="51"/>
      <c r="LVK5" s="51"/>
      <c r="LVY5" s="51"/>
      <c r="LWM5" s="51"/>
      <c r="LXA5" s="51"/>
      <c r="LXO5" s="51"/>
      <c r="LYC5" s="51"/>
      <c r="LYQ5" s="51"/>
      <c r="LZE5" s="51"/>
      <c r="LZS5" s="51"/>
      <c r="MAG5" s="51"/>
      <c r="MAU5" s="51"/>
      <c r="MBI5" s="51"/>
      <c r="MBW5" s="51"/>
      <c r="MCK5" s="51"/>
      <c r="MCY5" s="51"/>
      <c r="MDM5" s="51"/>
      <c r="MEA5" s="51"/>
      <c r="MEO5" s="51"/>
      <c r="MFC5" s="51"/>
      <c r="MFQ5" s="51"/>
      <c r="MGE5" s="51"/>
      <c r="MGS5" s="51"/>
      <c r="MHG5" s="51"/>
      <c r="MHU5" s="51"/>
      <c r="MII5" s="51"/>
      <c r="MIW5" s="51"/>
      <c r="MJK5" s="51"/>
      <c r="MJY5" s="51"/>
      <c r="MKM5" s="51"/>
      <c r="MLA5" s="51"/>
      <c r="MLO5" s="51"/>
      <c r="MMC5" s="51"/>
      <c r="MMQ5" s="51"/>
      <c r="MNE5" s="51"/>
      <c r="MNS5" s="51"/>
      <c r="MOG5" s="51"/>
      <c r="MOU5" s="51"/>
      <c r="MPI5" s="51"/>
      <c r="MPW5" s="51"/>
      <c r="MQK5" s="51"/>
      <c r="MQY5" s="51"/>
      <c r="MRM5" s="51"/>
      <c r="MSA5" s="51"/>
      <c r="MSO5" s="51"/>
      <c r="MTC5" s="51"/>
      <c r="MTQ5" s="51"/>
      <c r="MUE5" s="51"/>
      <c r="MUS5" s="51"/>
      <c r="MVG5" s="51"/>
      <c r="MVU5" s="51"/>
      <c r="MWI5" s="51"/>
      <c r="MWW5" s="51"/>
      <c r="MXK5" s="51"/>
      <c r="MXY5" s="51"/>
      <c r="MYM5" s="51"/>
      <c r="MZA5" s="51"/>
      <c r="MZO5" s="51"/>
      <c r="NAC5" s="51"/>
      <c r="NAQ5" s="51"/>
      <c r="NBE5" s="51"/>
      <c r="NBS5" s="51"/>
      <c r="NCG5" s="51"/>
      <c r="NCU5" s="51"/>
      <c r="NDI5" s="51"/>
      <c r="NDW5" s="51"/>
      <c r="NEK5" s="51"/>
      <c r="NEY5" s="51"/>
      <c r="NFM5" s="51"/>
      <c r="NGA5" s="51"/>
      <c r="NGO5" s="51"/>
      <c r="NHC5" s="51"/>
      <c r="NHQ5" s="51"/>
      <c r="NIE5" s="51"/>
      <c r="NIS5" s="51"/>
      <c r="NJG5" s="51"/>
      <c r="NJU5" s="51"/>
      <c r="NKI5" s="51"/>
      <c r="NKW5" s="51"/>
      <c r="NLK5" s="51"/>
      <c r="NLY5" s="51"/>
      <c r="NMM5" s="51"/>
      <c r="NNA5" s="51"/>
      <c r="NNO5" s="51"/>
      <c r="NOC5" s="51"/>
      <c r="NOQ5" s="51"/>
      <c r="NPE5" s="51"/>
      <c r="NPS5" s="51"/>
      <c r="NQG5" s="51"/>
      <c r="NQU5" s="51"/>
      <c r="NRI5" s="51"/>
      <c r="NRW5" s="51"/>
      <c r="NSK5" s="51"/>
      <c r="NSY5" s="51"/>
      <c r="NTM5" s="51"/>
      <c r="NUA5" s="51"/>
      <c r="NUO5" s="51"/>
      <c r="NVC5" s="51"/>
      <c r="NVQ5" s="51"/>
      <c r="NWE5" s="51"/>
      <c r="NWS5" s="51"/>
      <c r="NXG5" s="51"/>
      <c r="NXU5" s="51"/>
      <c r="NYI5" s="51"/>
      <c r="NYW5" s="51"/>
      <c r="NZK5" s="51"/>
      <c r="NZY5" s="51"/>
      <c r="OAM5" s="51"/>
      <c r="OBA5" s="51"/>
      <c r="OBO5" s="51"/>
      <c r="OCC5" s="51"/>
      <c r="OCQ5" s="51"/>
      <c r="ODE5" s="51"/>
      <c r="ODS5" s="51"/>
      <c r="OEG5" s="51"/>
      <c r="OEU5" s="51"/>
      <c r="OFI5" s="51"/>
      <c r="OFW5" s="51"/>
      <c r="OGK5" s="51"/>
      <c r="OGY5" s="51"/>
      <c r="OHM5" s="51"/>
      <c r="OIA5" s="51"/>
      <c r="OIO5" s="51"/>
      <c r="OJC5" s="51"/>
      <c r="OJQ5" s="51"/>
      <c r="OKE5" s="51"/>
      <c r="OKS5" s="51"/>
      <c r="OLG5" s="51"/>
      <c r="OLU5" s="51"/>
      <c r="OMI5" s="51"/>
      <c r="OMW5" s="51"/>
      <c r="ONK5" s="51"/>
      <c r="ONY5" s="51"/>
      <c r="OOM5" s="51"/>
      <c r="OPA5" s="51"/>
      <c r="OPO5" s="51"/>
      <c r="OQC5" s="51"/>
      <c r="OQQ5" s="51"/>
      <c r="ORE5" s="51"/>
      <c r="ORS5" s="51"/>
      <c r="OSG5" s="51"/>
      <c r="OSU5" s="51"/>
      <c r="OTI5" s="51"/>
      <c r="OTW5" s="51"/>
      <c r="OUK5" s="51"/>
      <c r="OUY5" s="51"/>
      <c r="OVM5" s="51"/>
      <c r="OWA5" s="51"/>
      <c r="OWO5" s="51"/>
      <c r="OXC5" s="51"/>
      <c r="OXQ5" s="51"/>
      <c r="OYE5" s="51"/>
      <c r="OYS5" s="51"/>
      <c r="OZG5" s="51"/>
      <c r="OZU5" s="51"/>
      <c r="PAI5" s="51"/>
      <c r="PAW5" s="51"/>
      <c r="PBK5" s="51"/>
      <c r="PBY5" s="51"/>
      <c r="PCM5" s="51"/>
      <c r="PDA5" s="51"/>
      <c r="PDO5" s="51"/>
      <c r="PEC5" s="51"/>
      <c r="PEQ5" s="51"/>
      <c r="PFE5" s="51"/>
      <c r="PFS5" s="51"/>
      <c r="PGG5" s="51"/>
      <c r="PGU5" s="51"/>
      <c r="PHI5" s="51"/>
      <c r="PHW5" s="51"/>
      <c r="PIK5" s="51"/>
      <c r="PIY5" s="51"/>
      <c r="PJM5" s="51"/>
      <c r="PKA5" s="51"/>
      <c r="PKO5" s="51"/>
      <c r="PLC5" s="51"/>
      <c r="PLQ5" s="51"/>
      <c r="PME5" s="51"/>
      <c r="PMS5" s="51"/>
      <c r="PNG5" s="51"/>
      <c r="PNU5" s="51"/>
      <c r="POI5" s="51"/>
      <c r="POW5" s="51"/>
      <c r="PPK5" s="51"/>
      <c r="PPY5" s="51"/>
      <c r="PQM5" s="51"/>
      <c r="PRA5" s="51"/>
      <c r="PRO5" s="51"/>
      <c r="PSC5" s="51"/>
      <c r="PSQ5" s="51"/>
      <c r="PTE5" s="51"/>
      <c r="PTS5" s="51"/>
      <c r="PUG5" s="51"/>
      <c r="PUU5" s="51"/>
      <c r="PVI5" s="51"/>
      <c r="PVW5" s="51"/>
      <c r="PWK5" s="51"/>
      <c r="PWY5" s="51"/>
      <c r="PXM5" s="51"/>
      <c r="PYA5" s="51"/>
      <c r="PYO5" s="51"/>
      <c r="PZC5" s="51"/>
      <c r="PZQ5" s="51"/>
      <c r="QAE5" s="51"/>
      <c r="QAS5" s="51"/>
      <c r="QBG5" s="51"/>
      <c r="QBU5" s="51"/>
      <c r="QCI5" s="51"/>
      <c r="QCW5" s="51"/>
      <c r="QDK5" s="51"/>
      <c r="QDY5" s="51"/>
      <c r="QEM5" s="51"/>
      <c r="QFA5" s="51"/>
      <c r="QFO5" s="51"/>
      <c r="QGC5" s="51"/>
      <c r="QGQ5" s="51"/>
      <c r="QHE5" s="51"/>
      <c r="QHS5" s="51"/>
      <c r="QIG5" s="51"/>
      <c r="QIU5" s="51"/>
      <c r="QJI5" s="51"/>
      <c r="QJW5" s="51"/>
      <c r="QKK5" s="51"/>
      <c r="QKY5" s="51"/>
      <c r="QLM5" s="51"/>
      <c r="QMA5" s="51"/>
      <c r="QMO5" s="51"/>
      <c r="QNC5" s="51"/>
      <c r="QNQ5" s="51"/>
      <c r="QOE5" s="51"/>
      <c r="QOS5" s="51"/>
      <c r="QPG5" s="51"/>
      <c r="QPU5" s="51"/>
      <c r="QQI5" s="51"/>
      <c r="QQW5" s="51"/>
      <c r="QRK5" s="51"/>
      <c r="QRY5" s="51"/>
      <c r="QSM5" s="51"/>
      <c r="QTA5" s="51"/>
      <c r="QTO5" s="51"/>
      <c r="QUC5" s="51"/>
      <c r="QUQ5" s="51"/>
      <c r="QVE5" s="51"/>
      <c r="QVS5" s="51"/>
      <c r="QWG5" s="51"/>
      <c r="QWU5" s="51"/>
      <c r="QXI5" s="51"/>
      <c r="QXW5" s="51"/>
      <c r="QYK5" s="51"/>
      <c r="QYY5" s="51"/>
      <c r="QZM5" s="51"/>
      <c r="RAA5" s="51"/>
      <c r="RAO5" s="51"/>
      <c r="RBC5" s="51"/>
      <c r="RBQ5" s="51"/>
      <c r="RCE5" s="51"/>
      <c r="RCS5" s="51"/>
      <c r="RDG5" s="51"/>
      <c r="RDU5" s="51"/>
      <c r="REI5" s="51"/>
      <c r="REW5" s="51"/>
      <c r="RFK5" s="51"/>
      <c r="RFY5" s="51"/>
      <c r="RGM5" s="51"/>
      <c r="RHA5" s="51"/>
      <c r="RHO5" s="51"/>
      <c r="RIC5" s="51"/>
      <c r="RIQ5" s="51"/>
      <c r="RJE5" s="51"/>
      <c r="RJS5" s="51"/>
      <c r="RKG5" s="51"/>
      <c r="RKU5" s="51"/>
      <c r="RLI5" s="51"/>
      <c r="RLW5" s="51"/>
      <c r="RMK5" s="51"/>
      <c r="RMY5" s="51"/>
      <c r="RNM5" s="51"/>
      <c r="ROA5" s="51"/>
      <c r="ROO5" s="51"/>
      <c r="RPC5" s="51"/>
      <c r="RPQ5" s="51"/>
      <c r="RQE5" s="51"/>
      <c r="RQS5" s="51"/>
      <c r="RRG5" s="51"/>
      <c r="RRU5" s="51"/>
      <c r="RSI5" s="51"/>
      <c r="RSW5" s="51"/>
      <c r="RTK5" s="51"/>
      <c r="RTY5" s="51"/>
      <c r="RUM5" s="51"/>
      <c r="RVA5" s="51"/>
      <c r="RVO5" s="51"/>
      <c r="RWC5" s="51"/>
      <c r="RWQ5" s="51"/>
      <c r="RXE5" s="51"/>
      <c r="RXS5" s="51"/>
      <c r="RYG5" s="51"/>
      <c r="RYU5" s="51"/>
      <c r="RZI5" s="51"/>
      <c r="RZW5" s="51"/>
      <c r="SAK5" s="51"/>
      <c r="SAY5" s="51"/>
      <c r="SBM5" s="51"/>
      <c r="SCA5" s="51"/>
      <c r="SCO5" s="51"/>
      <c r="SDC5" s="51"/>
      <c r="SDQ5" s="51"/>
      <c r="SEE5" s="51"/>
      <c r="SES5" s="51"/>
      <c r="SFG5" s="51"/>
      <c r="SFU5" s="51"/>
      <c r="SGI5" s="51"/>
      <c r="SGW5" s="51"/>
      <c r="SHK5" s="51"/>
      <c r="SHY5" s="51"/>
      <c r="SIM5" s="51"/>
      <c r="SJA5" s="51"/>
      <c r="SJO5" s="51"/>
      <c r="SKC5" s="51"/>
      <c r="SKQ5" s="51"/>
      <c r="SLE5" s="51"/>
      <c r="SLS5" s="51"/>
      <c r="SMG5" s="51"/>
      <c r="SMU5" s="51"/>
      <c r="SNI5" s="51"/>
      <c r="SNW5" s="51"/>
      <c r="SOK5" s="51"/>
      <c r="SOY5" s="51"/>
      <c r="SPM5" s="51"/>
      <c r="SQA5" s="51"/>
      <c r="SQO5" s="51"/>
      <c r="SRC5" s="51"/>
      <c r="SRQ5" s="51"/>
      <c r="SSE5" s="51"/>
      <c r="SSS5" s="51"/>
      <c r="STG5" s="51"/>
      <c r="STU5" s="51"/>
      <c r="SUI5" s="51"/>
      <c r="SUW5" s="51"/>
      <c r="SVK5" s="51"/>
      <c r="SVY5" s="51"/>
      <c r="SWM5" s="51"/>
      <c r="SXA5" s="51"/>
      <c r="SXO5" s="51"/>
      <c r="SYC5" s="51"/>
      <c r="SYQ5" s="51"/>
      <c r="SZE5" s="51"/>
      <c r="SZS5" s="51"/>
      <c r="TAG5" s="51"/>
      <c r="TAU5" s="51"/>
      <c r="TBI5" s="51"/>
      <c r="TBW5" s="51"/>
      <c r="TCK5" s="51"/>
      <c r="TCY5" s="51"/>
      <c r="TDM5" s="51"/>
      <c r="TEA5" s="51"/>
      <c r="TEO5" s="51"/>
      <c r="TFC5" s="51"/>
      <c r="TFQ5" s="51"/>
      <c r="TGE5" s="51"/>
      <c r="TGS5" s="51"/>
      <c r="THG5" s="51"/>
      <c r="THU5" s="51"/>
      <c r="TII5" s="51"/>
      <c r="TIW5" s="51"/>
      <c r="TJK5" s="51"/>
      <c r="TJY5" s="51"/>
      <c r="TKM5" s="51"/>
      <c r="TLA5" s="51"/>
      <c r="TLO5" s="51"/>
      <c r="TMC5" s="51"/>
      <c r="TMQ5" s="51"/>
      <c r="TNE5" s="51"/>
      <c r="TNS5" s="51"/>
      <c r="TOG5" s="51"/>
      <c r="TOU5" s="51"/>
      <c r="TPI5" s="51"/>
      <c r="TPW5" s="51"/>
      <c r="TQK5" s="51"/>
      <c r="TQY5" s="51"/>
      <c r="TRM5" s="51"/>
      <c r="TSA5" s="51"/>
      <c r="TSO5" s="51"/>
      <c r="TTC5" s="51"/>
      <c r="TTQ5" s="51"/>
      <c r="TUE5" s="51"/>
      <c r="TUS5" s="51"/>
      <c r="TVG5" s="51"/>
      <c r="TVU5" s="51"/>
      <c r="TWI5" s="51"/>
      <c r="TWW5" s="51"/>
      <c r="TXK5" s="51"/>
      <c r="TXY5" s="51"/>
      <c r="TYM5" s="51"/>
      <c r="TZA5" s="51"/>
      <c r="TZO5" s="51"/>
      <c r="UAC5" s="51"/>
      <c r="UAQ5" s="51"/>
      <c r="UBE5" s="51"/>
      <c r="UBS5" s="51"/>
      <c r="UCG5" s="51"/>
      <c r="UCU5" s="51"/>
      <c r="UDI5" s="51"/>
      <c r="UDW5" s="51"/>
      <c r="UEK5" s="51"/>
      <c r="UEY5" s="51"/>
      <c r="UFM5" s="51"/>
      <c r="UGA5" s="51"/>
      <c r="UGO5" s="51"/>
      <c r="UHC5" s="51"/>
      <c r="UHQ5" s="51"/>
      <c r="UIE5" s="51"/>
      <c r="UIS5" s="51"/>
      <c r="UJG5" s="51"/>
      <c r="UJU5" s="51"/>
      <c r="UKI5" s="51"/>
      <c r="UKW5" s="51"/>
      <c r="ULK5" s="51"/>
      <c r="ULY5" s="51"/>
      <c r="UMM5" s="51"/>
      <c r="UNA5" s="51"/>
      <c r="UNO5" s="51"/>
      <c r="UOC5" s="51"/>
      <c r="UOQ5" s="51"/>
      <c r="UPE5" s="51"/>
      <c r="UPS5" s="51"/>
      <c r="UQG5" s="51"/>
      <c r="UQU5" s="51"/>
      <c r="URI5" s="51"/>
      <c r="URW5" s="51"/>
      <c r="USK5" s="51"/>
      <c r="USY5" s="51"/>
      <c r="UTM5" s="51"/>
      <c r="UUA5" s="51"/>
      <c r="UUO5" s="51"/>
      <c r="UVC5" s="51"/>
      <c r="UVQ5" s="51"/>
      <c r="UWE5" s="51"/>
      <c r="UWS5" s="51"/>
      <c r="UXG5" s="51"/>
      <c r="UXU5" s="51"/>
      <c r="UYI5" s="51"/>
      <c r="UYW5" s="51"/>
      <c r="UZK5" s="51"/>
      <c r="UZY5" s="51"/>
      <c r="VAM5" s="51"/>
      <c r="VBA5" s="51"/>
      <c r="VBO5" s="51"/>
      <c r="VCC5" s="51"/>
      <c r="VCQ5" s="51"/>
      <c r="VDE5" s="51"/>
      <c r="VDS5" s="51"/>
      <c r="VEG5" s="51"/>
      <c r="VEU5" s="51"/>
      <c r="VFI5" s="51"/>
      <c r="VFW5" s="51"/>
      <c r="VGK5" s="51"/>
      <c r="VGY5" s="51"/>
      <c r="VHM5" s="51"/>
      <c r="VIA5" s="51"/>
      <c r="VIO5" s="51"/>
      <c r="VJC5" s="51"/>
      <c r="VJQ5" s="51"/>
      <c r="VKE5" s="51"/>
      <c r="VKS5" s="51"/>
      <c r="VLG5" s="51"/>
      <c r="VLU5" s="51"/>
      <c r="VMI5" s="51"/>
      <c r="VMW5" s="51"/>
      <c r="VNK5" s="51"/>
      <c r="VNY5" s="51"/>
      <c r="VOM5" s="51"/>
      <c r="VPA5" s="51"/>
      <c r="VPO5" s="51"/>
      <c r="VQC5" s="51"/>
      <c r="VQQ5" s="51"/>
      <c r="VRE5" s="51"/>
      <c r="VRS5" s="51"/>
      <c r="VSG5" s="51"/>
      <c r="VSU5" s="51"/>
      <c r="VTI5" s="51"/>
      <c r="VTW5" s="51"/>
      <c r="VUK5" s="51"/>
      <c r="VUY5" s="51"/>
      <c r="VVM5" s="51"/>
      <c r="VWA5" s="51"/>
      <c r="VWO5" s="51"/>
      <c r="VXC5" s="51"/>
      <c r="VXQ5" s="51"/>
      <c r="VYE5" s="51"/>
      <c r="VYS5" s="51"/>
      <c r="VZG5" s="51"/>
      <c r="VZU5" s="51"/>
      <c r="WAI5" s="51"/>
      <c r="WAW5" s="51"/>
      <c r="WBK5" s="51"/>
      <c r="WBY5" s="51"/>
      <c r="WCM5" s="51"/>
      <c r="WDA5" s="51"/>
      <c r="WDO5" s="51"/>
      <c r="WEC5" s="51"/>
      <c r="WEQ5" s="51"/>
      <c r="WFE5" s="51"/>
      <c r="WFS5" s="51"/>
      <c r="WGG5" s="51"/>
      <c r="WGU5" s="51"/>
      <c r="WHI5" s="51"/>
      <c r="WHW5" s="51"/>
      <c r="WIK5" s="51"/>
      <c r="WIY5" s="51"/>
      <c r="WJM5" s="51"/>
      <c r="WKA5" s="51"/>
      <c r="WKO5" s="51"/>
      <c r="WLC5" s="51"/>
      <c r="WLQ5" s="51"/>
      <c r="WME5" s="51"/>
      <c r="WMS5" s="51"/>
      <c r="WNG5" s="51"/>
      <c r="WNU5" s="51"/>
      <c r="WOI5" s="51"/>
      <c r="WOW5" s="51"/>
      <c r="WPK5" s="51"/>
      <c r="WPY5" s="51"/>
      <c r="WQM5" s="51"/>
      <c r="WRA5" s="51"/>
      <c r="WRO5" s="51"/>
      <c r="WSC5" s="51"/>
      <c r="WSQ5" s="51"/>
      <c r="WTE5" s="51"/>
      <c r="WTS5" s="51"/>
      <c r="WUG5" s="51"/>
      <c r="WUU5" s="51"/>
      <c r="WVI5" s="51"/>
      <c r="WVW5" s="51"/>
      <c r="WWK5" s="51"/>
      <c r="WWY5" s="51"/>
      <c r="WXM5" s="51"/>
      <c r="WYA5" s="51"/>
      <c r="WYO5" s="51"/>
      <c r="WZC5" s="51"/>
      <c r="WZQ5" s="51"/>
      <c r="XAE5" s="51"/>
      <c r="XAS5" s="51"/>
      <c r="XBG5" s="51"/>
      <c r="XBU5" s="51"/>
      <c r="XCI5" s="51"/>
      <c r="XCW5" s="51"/>
      <c r="XDK5" s="51"/>
      <c r="XDY5" s="51"/>
      <c r="XEM5" s="51"/>
      <c r="XFA5" s="51"/>
    </row>
    <row r="6" spans="1:1023 1037:2045 2059:3067 3081:4089 4103:5111 5125:6133 6147:7155 7169:8191 8205:9213 9227:10235 10249:11257 11271:12279 12293:13301 13315:14323 14337:15359 15373:16381" ht="12.95" customHeight="1" x14ac:dyDescent="0.25">
      <c r="B6" s="52"/>
      <c r="C6" s="53"/>
      <c r="D6" s="53"/>
      <c r="E6" s="53"/>
      <c r="G6" s="53"/>
      <c r="H6" s="53"/>
      <c r="I6" s="53"/>
      <c r="J6" s="53"/>
      <c r="K6" s="53"/>
      <c r="L6" s="53"/>
      <c r="M6" s="53"/>
      <c r="N6" s="53"/>
    </row>
    <row r="7" spans="1:1023 1037:2045 2059:3067 3081:4089 4103:5111 5125:6133 6147:7155 7169:8191 8205:9213 9227:10235 10249:11257 11271:12279 12293:13301 13315:14323 14337:15359 15373:16381" ht="12.95" customHeight="1" x14ac:dyDescent="0.25">
      <c r="A7" s="34" t="s">
        <v>53</v>
      </c>
      <c r="B7" s="52"/>
      <c r="C7" s="53"/>
      <c r="D7" s="53"/>
      <c r="E7" s="53"/>
      <c r="G7" s="53"/>
      <c r="H7" s="53"/>
      <c r="I7" s="53"/>
      <c r="J7" s="53"/>
      <c r="K7" s="53"/>
      <c r="L7" s="53"/>
      <c r="M7" s="53"/>
      <c r="N7" s="53"/>
    </row>
    <row r="8" spans="1:1023 1037:2045 2059:3067 3081:4089 4103:5111 5125:6133 6147:7155 7169:8191 8205:9213 9227:10235 10249:11257 11271:12279 12293:13301 13315:14323 14337:15359 15373:16381" ht="12.95" customHeight="1" x14ac:dyDescent="0.25">
      <c r="A8" s="55" t="s">
        <v>54</v>
      </c>
      <c r="B8" s="56">
        <v>458705120</v>
      </c>
      <c r="C8" s="56">
        <v>401520283</v>
      </c>
      <c r="D8" s="56">
        <v>370553673</v>
      </c>
      <c r="E8" s="56">
        <v>492139942</v>
      </c>
      <c r="F8" s="56">
        <v>690755080</v>
      </c>
      <c r="G8" s="56">
        <v>863584352</v>
      </c>
      <c r="H8" s="56"/>
      <c r="I8" s="56"/>
      <c r="J8" s="56"/>
      <c r="K8" s="57"/>
      <c r="L8" s="57"/>
      <c r="M8" s="57"/>
      <c r="N8" s="57">
        <f t="shared" ref="N8:N23" si="4">SUM(B8:M8)</f>
        <v>3277258450</v>
      </c>
      <c r="O8" s="43">
        <f>+N8/$N$5</f>
        <v>0.22723127879819913</v>
      </c>
      <c r="P8" s="43" t="e">
        <f t="shared" ref="P8:P21" si="5">+J8/I8-1</f>
        <v>#DIV/0!</v>
      </c>
      <c r="Q8" s="76">
        <f>+E8+F8+G8</f>
        <v>2046479374</v>
      </c>
      <c r="R8" s="77">
        <f>+Q8/$Q$24</f>
        <v>0.27009061926642808</v>
      </c>
    </row>
    <row r="9" spans="1:1023 1037:2045 2059:3067 3081:4089 4103:5111 5125:6133 6147:7155 7169:8191 8205:9213 9227:10235 10249:11257 11271:12279 12293:13301 13315:14323 14337:15359 15373:16381" ht="12.95" customHeight="1" x14ac:dyDescent="0.25">
      <c r="A9" s="55" t="s">
        <v>55</v>
      </c>
      <c r="B9" s="56"/>
      <c r="C9" s="56"/>
      <c r="D9" s="56"/>
      <c r="E9" s="56">
        <v>918334</v>
      </c>
      <c r="F9" s="56" t="s">
        <v>1</v>
      </c>
      <c r="G9" s="56" t="s">
        <v>1</v>
      </c>
      <c r="H9" s="56"/>
      <c r="I9" s="56"/>
      <c r="J9" s="56"/>
      <c r="K9" s="57"/>
      <c r="L9" s="57"/>
      <c r="M9" s="57"/>
      <c r="N9" s="57">
        <f t="shared" si="4"/>
        <v>918334</v>
      </c>
      <c r="Q9" s="76">
        <v>0</v>
      </c>
      <c r="R9" s="77">
        <f t="shared" ref="R9:R24" si="6">+Q9/$Q$24</f>
        <v>0</v>
      </c>
    </row>
    <row r="10" spans="1:1023 1037:2045 2059:3067 3081:4089 4103:5111 5125:6133 6147:7155 7169:8191 8205:9213 9227:10235 10249:11257 11271:12279 12293:13301 13315:14323 14337:15359 15373:16381" ht="12.95" customHeight="1" x14ac:dyDescent="0.25">
      <c r="A10" s="55" t="s">
        <v>56</v>
      </c>
      <c r="B10" s="56">
        <v>133679200</v>
      </c>
      <c r="C10" s="56">
        <v>103095800</v>
      </c>
      <c r="D10" s="56">
        <v>82107500</v>
      </c>
      <c r="E10" s="56">
        <v>91644300</v>
      </c>
      <c r="F10" s="56">
        <v>139962400</v>
      </c>
      <c r="G10" s="56">
        <v>209469400</v>
      </c>
      <c r="H10" s="56"/>
      <c r="I10" s="56"/>
      <c r="J10" s="56"/>
      <c r="K10" s="57"/>
      <c r="L10" s="57"/>
      <c r="M10" s="57"/>
      <c r="N10" s="57">
        <f t="shared" si="4"/>
        <v>759958600</v>
      </c>
      <c r="O10" s="43">
        <f t="shared" ref="O10:O26" si="7">+N10/$N$5</f>
        <v>5.2692324131985713E-2</v>
      </c>
      <c r="P10" s="43" t="e">
        <f t="shared" si="5"/>
        <v>#DIV/0!</v>
      </c>
      <c r="Q10" s="76">
        <f t="shared" ref="Q10:Q24" si="8">+E10+F10+G10</f>
        <v>441076100</v>
      </c>
      <c r="R10" s="77">
        <f t="shared" si="6"/>
        <v>5.8212420074271888E-2</v>
      </c>
    </row>
    <row r="11" spans="1:1023 1037:2045 2059:3067 3081:4089 4103:5111 5125:6133 6147:7155 7169:8191 8205:9213 9227:10235 10249:11257 11271:12279 12293:13301 13315:14323 14337:15359 15373:16381" ht="12.95" customHeight="1" x14ac:dyDescent="0.25">
      <c r="A11" s="55" t="s">
        <v>57</v>
      </c>
      <c r="B11" s="56">
        <v>135898066</v>
      </c>
      <c r="C11" s="56">
        <v>29244939</v>
      </c>
      <c r="D11" s="56">
        <v>40474441</v>
      </c>
      <c r="E11" s="56">
        <v>103480234</v>
      </c>
      <c r="F11" s="56">
        <v>253036275</v>
      </c>
      <c r="G11" s="56">
        <v>203226992</v>
      </c>
      <c r="H11" s="56"/>
      <c r="I11" s="56"/>
      <c r="J11" s="56"/>
      <c r="K11" s="57"/>
      <c r="L11" s="57"/>
      <c r="M11" s="57"/>
      <c r="N11" s="57">
        <f t="shared" si="4"/>
        <v>765360947</v>
      </c>
      <c r="O11" s="43">
        <f t="shared" si="7"/>
        <v>5.3066900088093664E-2</v>
      </c>
      <c r="P11" s="43" t="e">
        <f t="shared" si="5"/>
        <v>#DIV/0!</v>
      </c>
      <c r="Q11" s="76">
        <f t="shared" si="8"/>
        <v>559743501</v>
      </c>
      <c r="R11" s="77">
        <f t="shared" si="6"/>
        <v>7.3873927456181876E-2</v>
      </c>
    </row>
    <row r="12" spans="1:1023 1037:2045 2059:3067 3081:4089 4103:5111 5125:6133 6147:7155 7169:8191 8205:9213 9227:10235 10249:11257 11271:12279 12293:13301 13315:14323 14337:15359 15373:16381" ht="12.95" customHeight="1" x14ac:dyDescent="0.25">
      <c r="A12" s="55" t="s">
        <v>58</v>
      </c>
      <c r="B12" s="56">
        <v>67234695</v>
      </c>
      <c r="C12" s="56">
        <v>45778772</v>
      </c>
      <c r="D12" s="56">
        <v>100346133</v>
      </c>
      <c r="E12" s="56">
        <v>50017330</v>
      </c>
      <c r="F12" s="56">
        <v>84159859</v>
      </c>
      <c r="G12" s="56">
        <v>46501572</v>
      </c>
      <c r="H12" s="56"/>
      <c r="I12" s="56"/>
      <c r="J12" s="56"/>
      <c r="K12" s="57"/>
      <c r="L12" s="57"/>
      <c r="M12" s="57"/>
      <c r="N12" s="57">
        <f t="shared" si="4"/>
        <v>394038361</v>
      </c>
      <c r="O12" s="43">
        <f t="shared" si="7"/>
        <v>2.7320958060410655E-2</v>
      </c>
      <c r="P12" s="43" t="e">
        <f t="shared" si="5"/>
        <v>#DIV/0!</v>
      </c>
      <c r="Q12" s="76">
        <f t="shared" si="8"/>
        <v>180678761</v>
      </c>
      <c r="R12" s="77">
        <f t="shared" si="6"/>
        <v>2.3845653695203552E-2</v>
      </c>
    </row>
    <row r="13" spans="1:1023 1037:2045 2059:3067 3081:4089 4103:5111 5125:6133 6147:7155 7169:8191 8205:9213 9227:10235 10249:11257 11271:12279 12293:13301 13315:14323 14337:15359 15373:16381" ht="12.95" customHeight="1" x14ac:dyDescent="0.25">
      <c r="A13" s="55" t="s">
        <v>59</v>
      </c>
      <c r="B13" s="56">
        <v>70839384</v>
      </c>
      <c r="C13" s="56">
        <v>97532187</v>
      </c>
      <c r="D13" s="56">
        <v>150096682</v>
      </c>
      <c r="E13" s="56">
        <v>148454392</v>
      </c>
      <c r="F13" s="56">
        <v>172601673</v>
      </c>
      <c r="G13" s="56">
        <v>165610722</v>
      </c>
      <c r="H13" s="56"/>
      <c r="I13" s="56"/>
      <c r="J13" s="56"/>
      <c r="K13" s="57"/>
      <c r="L13" s="57"/>
      <c r="M13" s="57"/>
      <c r="N13" s="57">
        <f t="shared" si="4"/>
        <v>805135040</v>
      </c>
      <c r="O13" s="43">
        <f t="shared" si="7"/>
        <v>5.5824667945989795E-2</v>
      </c>
      <c r="P13" s="43" t="e">
        <f t="shared" si="5"/>
        <v>#DIV/0!</v>
      </c>
      <c r="Q13" s="76">
        <f t="shared" si="8"/>
        <v>486666787</v>
      </c>
      <c r="R13" s="77">
        <f t="shared" si="6"/>
        <v>6.4229395882116944E-2</v>
      </c>
    </row>
    <row r="14" spans="1:1023 1037:2045 2059:3067 3081:4089 4103:5111 5125:6133 6147:7155 7169:8191 8205:9213 9227:10235 10249:11257 11271:12279 12293:13301 13315:14323 14337:15359 15373:16381" ht="12.95" customHeight="1" x14ac:dyDescent="0.25">
      <c r="A14" s="55" t="s">
        <v>60</v>
      </c>
      <c r="B14" s="56">
        <v>56874886.420000002</v>
      </c>
      <c r="C14" s="56">
        <v>25140835.490000002</v>
      </c>
      <c r="D14" s="56">
        <v>18682952.380000003</v>
      </c>
      <c r="E14" s="56">
        <v>34759367</v>
      </c>
      <c r="F14" s="56">
        <v>100084211.74000001</v>
      </c>
      <c r="G14" s="56">
        <v>158245595.75999999</v>
      </c>
      <c r="H14" s="56"/>
      <c r="I14" s="56"/>
      <c r="J14" s="56"/>
      <c r="K14" s="57"/>
      <c r="L14" s="57"/>
      <c r="M14" s="57"/>
      <c r="N14" s="57">
        <f t="shared" si="4"/>
        <v>393787848.78999996</v>
      </c>
      <c r="O14" s="43">
        <f t="shared" si="7"/>
        <v>2.7303588600326459E-2</v>
      </c>
      <c r="P14" s="43" t="e">
        <f t="shared" si="5"/>
        <v>#DIV/0!</v>
      </c>
      <c r="Q14" s="76">
        <f t="shared" si="8"/>
        <v>293089174.5</v>
      </c>
      <c r="R14" s="77">
        <f t="shared" si="6"/>
        <v>3.868137526657095E-2</v>
      </c>
    </row>
    <row r="15" spans="1:1023 1037:2045 2059:3067 3081:4089 4103:5111 5125:6133 6147:7155 7169:8191 8205:9213 9227:10235 10249:11257 11271:12279 12293:13301 13315:14323 14337:15359 15373:16381" ht="12.95" customHeight="1" x14ac:dyDescent="0.25">
      <c r="A15" s="55" t="s">
        <v>61</v>
      </c>
      <c r="B15" s="56">
        <v>29563990</v>
      </c>
      <c r="C15" s="56">
        <v>720091</v>
      </c>
      <c r="D15" s="56">
        <v>155524889</v>
      </c>
      <c r="E15" s="56">
        <v>8626696</v>
      </c>
      <c r="F15" s="56">
        <v>9429563</v>
      </c>
      <c r="G15" s="56">
        <v>18282108</v>
      </c>
      <c r="H15" s="56"/>
      <c r="I15" s="56"/>
      <c r="J15" s="56"/>
      <c r="K15" s="57"/>
      <c r="L15" s="57"/>
      <c r="M15" s="57"/>
      <c r="N15" s="57">
        <f t="shared" si="4"/>
        <v>222147337</v>
      </c>
      <c r="O15" s="43">
        <f t="shared" si="7"/>
        <v>1.5402759421712528E-2</v>
      </c>
      <c r="P15" s="43" t="e">
        <f t="shared" si="5"/>
        <v>#DIV/0!</v>
      </c>
      <c r="Q15" s="76">
        <f t="shared" si="8"/>
        <v>36338367</v>
      </c>
      <c r="R15" s="77">
        <f t="shared" si="6"/>
        <v>4.7958714711975074E-3</v>
      </c>
    </row>
    <row r="16" spans="1:1023 1037:2045 2059:3067 3081:4089 4103:5111 5125:6133 6147:7155 7169:8191 8205:9213 9227:10235 10249:11257 11271:12279 12293:13301 13315:14323 14337:15359 15373:16381" ht="12.95" customHeight="1" x14ac:dyDescent="0.25">
      <c r="A16" s="55" t="s">
        <v>62</v>
      </c>
      <c r="B16" s="56">
        <v>19623246</v>
      </c>
      <c r="C16" s="56">
        <v>12169880</v>
      </c>
      <c r="D16" s="56">
        <v>21813252</v>
      </c>
      <c r="E16" s="56">
        <v>13162640</v>
      </c>
      <c r="F16" s="56">
        <v>14827440</v>
      </c>
      <c r="G16" s="56">
        <v>15227441</v>
      </c>
      <c r="H16" s="56"/>
      <c r="I16" s="56"/>
      <c r="J16" s="56"/>
      <c r="K16" s="57"/>
      <c r="L16" s="57"/>
      <c r="M16" s="57"/>
      <c r="N16" s="57">
        <f t="shared" si="4"/>
        <v>96823899</v>
      </c>
      <c r="O16" s="43">
        <f t="shared" si="7"/>
        <v>6.7133607933782804E-3</v>
      </c>
      <c r="P16" s="43" t="e">
        <f t="shared" si="5"/>
        <v>#DIV/0!</v>
      </c>
      <c r="Q16" s="76">
        <f t="shared" si="8"/>
        <v>43217521</v>
      </c>
      <c r="R16" s="77">
        <f t="shared" si="6"/>
        <v>5.7037696828748296E-3</v>
      </c>
    </row>
    <row r="17" spans="1:18" ht="12.95" customHeight="1" x14ac:dyDescent="0.25">
      <c r="A17" s="55" t="s">
        <v>63</v>
      </c>
      <c r="B17" s="56">
        <v>21536929</v>
      </c>
      <c r="C17" s="56">
        <v>31902179</v>
      </c>
      <c r="D17" s="56">
        <v>3110159</v>
      </c>
      <c r="E17" s="56">
        <v>37307000</v>
      </c>
      <c r="F17" s="56">
        <v>67464000</v>
      </c>
      <c r="G17" s="56">
        <v>126154688</v>
      </c>
      <c r="H17" s="56"/>
      <c r="I17" s="56"/>
      <c r="J17" s="56"/>
      <c r="K17" s="57"/>
      <c r="L17" s="57"/>
      <c r="M17" s="57"/>
      <c r="N17" s="57">
        <f t="shared" si="4"/>
        <v>287474955</v>
      </c>
      <c r="O17" s="43">
        <f>+N17/$N$5</f>
        <v>1.9932300928876923E-2</v>
      </c>
      <c r="P17" s="43" t="e">
        <f t="shared" si="5"/>
        <v>#DIV/0!</v>
      </c>
      <c r="Q17" s="76">
        <f t="shared" si="8"/>
        <v>230925688</v>
      </c>
      <c r="R17" s="77">
        <f t="shared" si="6"/>
        <v>3.0477151574969139E-2</v>
      </c>
    </row>
    <row r="18" spans="1:18" ht="12.95" customHeight="1" x14ac:dyDescent="0.25">
      <c r="A18" s="55" t="s">
        <v>64</v>
      </c>
      <c r="B18" s="56">
        <v>4098846</v>
      </c>
      <c r="C18" s="56">
        <v>1280000</v>
      </c>
      <c r="D18" s="56">
        <v>15506567</v>
      </c>
      <c r="E18" s="56">
        <v>26621659</v>
      </c>
      <c r="F18" s="56">
        <v>18987555</v>
      </c>
      <c r="G18" s="56">
        <v>34251578</v>
      </c>
      <c r="H18" s="56"/>
      <c r="I18" s="56"/>
      <c r="J18" s="56"/>
      <c r="K18" s="57"/>
      <c r="L18" s="57"/>
      <c r="M18" s="57"/>
      <c r="N18" s="57">
        <f t="shared" si="4"/>
        <v>100746205</v>
      </c>
      <c r="O18" s="43">
        <f t="shared" si="7"/>
        <v>6.985316948748892E-3</v>
      </c>
      <c r="P18" s="43" t="e">
        <f t="shared" si="5"/>
        <v>#DIV/0!</v>
      </c>
      <c r="Q18" s="76">
        <f t="shared" si="8"/>
        <v>79860792</v>
      </c>
      <c r="R18" s="77">
        <f t="shared" si="6"/>
        <v>1.0539881828482776E-2</v>
      </c>
    </row>
    <row r="19" spans="1:18" ht="12.95" customHeight="1" x14ac:dyDescent="0.25">
      <c r="A19" s="55" t="s">
        <v>65</v>
      </c>
      <c r="B19" s="56" t="s">
        <v>1</v>
      </c>
      <c r="C19" s="56" t="s">
        <v>1</v>
      </c>
      <c r="D19" s="56">
        <v>8000001</v>
      </c>
      <c r="E19" s="56">
        <v>9800000</v>
      </c>
      <c r="F19" s="56">
        <v>18900000</v>
      </c>
      <c r="G19" s="56">
        <v>18500000</v>
      </c>
      <c r="H19" s="56"/>
      <c r="I19" s="56"/>
      <c r="J19" s="56"/>
      <c r="K19" s="57"/>
      <c r="L19" s="57"/>
      <c r="M19" s="57"/>
      <c r="N19" s="57">
        <f t="shared" si="4"/>
        <v>55200001</v>
      </c>
      <c r="O19" s="43">
        <f t="shared" si="7"/>
        <v>3.8273352584968908E-3</v>
      </c>
      <c r="P19" s="43" t="e">
        <f t="shared" si="5"/>
        <v>#DIV/0!</v>
      </c>
      <c r="Q19" s="76">
        <f t="shared" si="8"/>
        <v>47200000</v>
      </c>
      <c r="R19" s="77">
        <f t="shared" si="6"/>
        <v>6.2293700055514973E-3</v>
      </c>
    </row>
    <row r="20" spans="1:18" ht="12.95" customHeight="1" x14ac:dyDescent="0.25">
      <c r="A20" s="55" t="s">
        <v>66</v>
      </c>
      <c r="B20" s="56">
        <v>460000</v>
      </c>
      <c r="C20" s="56">
        <v>78600</v>
      </c>
      <c r="D20" s="56">
        <v>12030900</v>
      </c>
      <c r="E20" s="56">
        <v>3323608</v>
      </c>
      <c r="F20" s="56">
        <v>2023881</v>
      </c>
      <c r="G20" s="56">
        <v>43200</v>
      </c>
      <c r="H20" s="56"/>
      <c r="I20" s="56"/>
      <c r="J20" s="56"/>
      <c r="K20" s="57"/>
      <c r="L20" s="57"/>
      <c r="M20" s="57"/>
      <c r="N20" s="57">
        <f t="shared" si="4"/>
        <v>17960189</v>
      </c>
      <c r="O20" s="43">
        <f t="shared" si="7"/>
        <v>1.2452837565884831E-3</v>
      </c>
      <c r="P20" s="43" t="e">
        <f t="shared" si="5"/>
        <v>#DIV/0!</v>
      </c>
      <c r="Q20" s="76">
        <f t="shared" si="8"/>
        <v>5390689</v>
      </c>
      <c r="R20" s="77">
        <f t="shared" si="6"/>
        <v>7.1145331283594066E-4</v>
      </c>
    </row>
    <row r="21" spans="1:18" ht="12.95" customHeight="1" x14ac:dyDescent="0.25">
      <c r="A21" s="55" t="s">
        <v>67</v>
      </c>
      <c r="B21" s="56">
        <v>799938</v>
      </c>
      <c r="C21" s="56">
        <v>740757</v>
      </c>
      <c r="D21" s="56">
        <v>1428000</v>
      </c>
      <c r="E21" s="56">
        <v>496270</v>
      </c>
      <c r="F21" s="56">
        <v>1677600</v>
      </c>
      <c r="G21" s="56">
        <v>1100000000</v>
      </c>
      <c r="H21" s="56"/>
      <c r="I21" s="56"/>
      <c r="J21" s="56"/>
      <c r="K21" s="57"/>
      <c r="L21" s="57"/>
      <c r="M21" s="57"/>
      <c r="N21" s="57">
        <f t="shared" si="4"/>
        <v>1105142565</v>
      </c>
      <c r="O21" s="43">
        <f t="shared" si="7"/>
        <v>7.662592442145412E-2</v>
      </c>
      <c r="P21" s="43" t="e">
        <f t="shared" si="5"/>
        <v>#DIV/0!</v>
      </c>
      <c r="Q21" s="76">
        <f t="shared" si="8"/>
        <v>1102173870</v>
      </c>
      <c r="R21" s="77">
        <f t="shared" si="6"/>
        <v>0.14546289929408085</v>
      </c>
    </row>
    <row r="22" spans="1:18" ht="12.95" customHeight="1" x14ac:dyDescent="0.25">
      <c r="A22" s="55" t="s">
        <v>68</v>
      </c>
      <c r="B22" s="56" t="s">
        <v>1</v>
      </c>
      <c r="C22" s="56">
        <v>9185800</v>
      </c>
      <c r="D22" s="56">
        <v>1033404600</v>
      </c>
      <c r="E22" s="56">
        <v>595456000</v>
      </c>
      <c r="F22" s="56">
        <v>197844000</v>
      </c>
      <c r="G22" s="56">
        <v>176348000</v>
      </c>
      <c r="H22" s="56"/>
      <c r="I22" s="56"/>
      <c r="J22" s="56"/>
      <c r="K22" s="57"/>
      <c r="L22" s="57"/>
      <c r="M22" s="57"/>
      <c r="N22" s="57">
        <f t="shared" si="4"/>
        <v>2012238400</v>
      </c>
      <c r="Q22" s="76">
        <f t="shared" si="8"/>
        <v>969648000</v>
      </c>
      <c r="R22" s="77">
        <f t="shared" si="6"/>
        <v>0.12797237642252116</v>
      </c>
    </row>
    <row r="23" spans="1:18" ht="12.95" customHeight="1" x14ac:dyDescent="0.25">
      <c r="A23" s="55" t="s">
        <v>69</v>
      </c>
      <c r="B23" s="56">
        <v>68000000</v>
      </c>
      <c r="C23" s="56">
        <v>104063413</v>
      </c>
      <c r="D23" s="56">
        <v>58073447</v>
      </c>
      <c r="E23" s="56">
        <v>131557012</v>
      </c>
      <c r="F23" s="56">
        <v>308696764</v>
      </c>
      <c r="G23" s="56">
        <v>613349454</v>
      </c>
      <c r="H23" s="56"/>
      <c r="I23" s="56"/>
      <c r="J23" s="56"/>
      <c r="K23" s="57"/>
      <c r="L23" s="57"/>
      <c r="M23" s="57"/>
      <c r="N23" s="57">
        <f t="shared" si="4"/>
        <v>1283740090</v>
      </c>
      <c r="O23" s="43">
        <f t="shared" si="7"/>
        <v>8.9009123554236388E-2</v>
      </c>
      <c r="Q23" s="76">
        <f t="shared" si="8"/>
        <v>1053603230</v>
      </c>
      <c r="R23" s="77">
        <f t="shared" si="6"/>
        <v>0.13905263471852067</v>
      </c>
    </row>
    <row r="24" spans="1:18" ht="12.95" customHeight="1" x14ac:dyDescent="0.25">
      <c r="A24" s="58" t="s">
        <v>70</v>
      </c>
      <c r="B24" s="59">
        <f t="shared" ref="B24:G24" si="9">+SUM(B8:B23)</f>
        <v>1067314300.42</v>
      </c>
      <c r="C24" s="59">
        <f t="shared" si="9"/>
        <v>862453536.49000001</v>
      </c>
      <c r="D24" s="59">
        <f t="shared" si="9"/>
        <v>2071153196.3800001</v>
      </c>
      <c r="E24" s="60">
        <f t="shared" si="9"/>
        <v>1747764784</v>
      </c>
      <c r="F24" s="60">
        <f t="shared" si="9"/>
        <v>2080450301.74</v>
      </c>
      <c r="G24" s="60">
        <f t="shared" si="9"/>
        <v>3748795102.7600002</v>
      </c>
      <c r="H24" s="59">
        <f t="shared" ref="H24:M24" si="10">+SUM(H8:H23)</f>
        <v>0</v>
      </c>
      <c r="I24" s="59">
        <f t="shared" si="10"/>
        <v>0</v>
      </c>
      <c r="J24" s="59">
        <f t="shared" si="10"/>
        <v>0</v>
      </c>
      <c r="K24" s="59">
        <f t="shared" si="10"/>
        <v>0</v>
      </c>
      <c r="L24" s="60">
        <f t="shared" si="10"/>
        <v>0</v>
      </c>
      <c r="M24" s="59">
        <f t="shared" si="10"/>
        <v>0</v>
      </c>
      <c r="N24" s="59">
        <f>+SUM(N8:N23)</f>
        <v>11577931221.790001</v>
      </c>
      <c r="O24" s="38">
        <f t="shared" si="7"/>
        <v>0.80276491997905686</v>
      </c>
      <c r="P24" s="38" t="e">
        <f>+J24/I24-1</f>
        <v>#DIV/0!</v>
      </c>
      <c r="Q24" s="76">
        <f t="shared" si="8"/>
        <v>7577010188.5</v>
      </c>
      <c r="R24" s="77">
        <f t="shared" si="6"/>
        <v>1</v>
      </c>
    </row>
    <row r="25" spans="1:18" ht="12.95" customHeight="1" x14ac:dyDescent="0.25">
      <c r="B25" s="52"/>
      <c r="C25" s="53"/>
      <c r="D25" s="53"/>
      <c r="E25" s="53"/>
      <c r="G25" s="53"/>
      <c r="H25" s="53"/>
      <c r="I25" s="53"/>
      <c r="J25" s="53"/>
      <c r="K25" s="53"/>
      <c r="L25" s="53"/>
      <c r="M25" s="53"/>
      <c r="N25" s="53"/>
    </row>
    <row r="26" spans="1:18" ht="12.95" customHeight="1" x14ac:dyDescent="0.25">
      <c r="A26" s="61" t="s">
        <v>71</v>
      </c>
      <c r="B26" s="62">
        <f t="shared" ref="B26:M26" si="11">+B5-B24</f>
        <v>77694539.629999995</v>
      </c>
      <c r="C26" s="62">
        <f t="shared" si="11"/>
        <v>729922073.50999999</v>
      </c>
      <c r="D26" s="62">
        <f t="shared" si="11"/>
        <v>467085574.61999989</v>
      </c>
      <c r="E26" s="62">
        <f>+E5-E24</f>
        <v>259255739</v>
      </c>
      <c r="F26" s="62">
        <f>+F5-F24</f>
        <v>659297843.25999999</v>
      </c>
      <c r="G26" s="62">
        <f>+G5-G24</f>
        <v>651380479.23999977</v>
      </c>
      <c r="H26" s="62">
        <f t="shared" si="11"/>
        <v>0</v>
      </c>
      <c r="I26" s="62">
        <f t="shared" si="11"/>
        <v>0</v>
      </c>
      <c r="J26" s="62">
        <f t="shared" si="11"/>
        <v>0</v>
      </c>
      <c r="K26" s="62">
        <f t="shared" si="11"/>
        <v>0</v>
      </c>
      <c r="L26" s="62">
        <f t="shared" si="11"/>
        <v>0</v>
      </c>
      <c r="M26" s="62">
        <f t="shared" si="11"/>
        <v>0</v>
      </c>
      <c r="N26" s="62">
        <f>+N5-N24</f>
        <v>2844636249.2599983</v>
      </c>
      <c r="O26" s="38">
        <f t="shared" si="7"/>
        <v>0.19723508002094314</v>
      </c>
      <c r="P26" s="38" t="e">
        <f>+J26/I26-1</f>
        <v>#DIV/0!</v>
      </c>
    </row>
    <row r="27" spans="1:18" ht="12.95" customHeight="1" x14ac:dyDescent="0.25">
      <c r="B27" s="52"/>
      <c r="C27" s="53"/>
      <c r="D27" s="53"/>
      <c r="E27" s="53"/>
      <c r="G27" s="53"/>
      <c r="H27" s="53"/>
      <c r="I27" s="53"/>
      <c r="J27" s="53"/>
      <c r="K27" s="53"/>
      <c r="L27" s="53"/>
      <c r="M27" s="53"/>
      <c r="N27" s="53"/>
    </row>
    <row r="28" spans="1:18" ht="12.95" customHeight="1" x14ac:dyDescent="0.25">
      <c r="A28" s="61" t="s">
        <v>72</v>
      </c>
      <c r="B28" s="52"/>
      <c r="C28" s="53"/>
      <c r="D28" s="53"/>
      <c r="E28" s="53"/>
      <c r="G28" s="53"/>
      <c r="H28" s="53"/>
      <c r="I28" s="53"/>
      <c r="J28" s="53"/>
      <c r="K28" s="53"/>
      <c r="L28" s="53"/>
      <c r="M28" s="53"/>
      <c r="N28" s="53"/>
    </row>
    <row r="29" spans="1:18" ht="12.95" customHeight="1" x14ac:dyDescent="0.25">
      <c r="A29" s="58" t="s">
        <v>73</v>
      </c>
      <c r="B29" s="56">
        <v>2305878.63</v>
      </c>
      <c r="C29" s="56">
        <v>1618112.03</v>
      </c>
      <c r="D29" s="56">
        <v>556648.24</v>
      </c>
      <c r="E29" s="56">
        <v>0</v>
      </c>
      <c r="F29" s="56">
        <v>14057.11</v>
      </c>
      <c r="G29" s="56">
        <v>914.71</v>
      </c>
      <c r="H29" s="60"/>
      <c r="I29" s="60"/>
      <c r="J29" s="60"/>
      <c r="K29" s="60"/>
      <c r="L29" s="60"/>
      <c r="M29" s="60"/>
      <c r="N29" s="59">
        <f>SUM(B29:M29)</f>
        <v>4495610.7200000007</v>
      </c>
      <c r="O29" s="38">
        <f t="shared" ref="O29" si="12">+N29/$N$5</f>
        <v>3.1170668669249836E-4</v>
      </c>
      <c r="P29" s="38" t="e">
        <f>+J29/I29-1</f>
        <v>#DIV/0!</v>
      </c>
    </row>
    <row r="30" spans="1:18" ht="12.95" customHeight="1" x14ac:dyDescent="0.25">
      <c r="A30" s="63"/>
      <c r="B30" s="64"/>
      <c r="C30" s="53"/>
      <c r="D30" s="53"/>
      <c r="E30" s="53"/>
      <c r="G30" s="65"/>
      <c r="H30" s="65"/>
      <c r="I30" s="53"/>
      <c r="J30" s="53"/>
      <c r="K30" s="53"/>
      <c r="L30" s="53"/>
      <c r="M30" s="53"/>
      <c r="N30" s="53"/>
    </row>
    <row r="31" spans="1:18" ht="12.95" customHeight="1" x14ac:dyDescent="0.25">
      <c r="A31" s="58" t="s">
        <v>74</v>
      </c>
      <c r="B31" s="64"/>
      <c r="C31" s="53"/>
      <c r="D31" s="53"/>
      <c r="E31" s="53"/>
      <c r="G31" s="65"/>
      <c r="H31" s="65"/>
      <c r="I31" s="53"/>
      <c r="J31" s="53"/>
      <c r="K31" s="53"/>
      <c r="L31" s="53"/>
      <c r="M31" s="53"/>
      <c r="N31" s="53"/>
    </row>
    <row r="32" spans="1:18" ht="12.95" customHeight="1" x14ac:dyDescent="0.25">
      <c r="A32" s="66" t="s">
        <v>75</v>
      </c>
      <c r="B32" s="56">
        <v>14604345.6</v>
      </c>
      <c r="C32" s="56">
        <v>15335317.049999999</v>
      </c>
      <c r="D32" s="56">
        <v>23613403.240000002</v>
      </c>
      <c r="E32" s="56">
        <v>16658033.5</v>
      </c>
      <c r="F32" s="56">
        <v>25696281.770000003</v>
      </c>
      <c r="G32" s="56">
        <v>31521269.48</v>
      </c>
      <c r="H32" s="56"/>
      <c r="I32" s="56"/>
      <c r="J32" s="56"/>
      <c r="K32" s="56"/>
      <c r="L32" s="56"/>
      <c r="M32" s="56"/>
      <c r="N32" s="57">
        <f>SUM(B32:M32)</f>
        <v>127428650.64</v>
      </c>
      <c r="O32" s="43">
        <f t="shared" ref="O32:O34" si="13">+N32/$N$5</f>
        <v>8.8353651938729936E-3</v>
      </c>
      <c r="P32" s="43" t="e">
        <f t="shared" ref="P32:P34" si="14">+J32/I32-1</f>
        <v>#DIV/0!</v>
      </c>
    </row>
    <row r="33" spans="1:16" ht="12.95" customHeight="1" x14ac:dyDescent="0.25">
      <c r="A33" s="66" t="s">
        <v>76</v>
      </c>
      <c r="B33" s="56">
        <v>305653726</v>
      </c>
      <c r="C33" s="56">
        <v>801632298</v>
      </c>
      <c r="D33" s="56">
        <v>740953552</v>
      </c>
      <c r="E33" s="56">
        <v>405524205</v>
      </c>
      <c r="F33" s="56">
        <v>817222055.54000008</v>
      </c>
      <c r="G33" s="56">
        <v>628486650.51999998</v>
      </c>
      <c r="H33" s="56"/>
      <c r="I33" s="56"/>
      <c r="J33" s="56"/>
      <c r="K33" s="56"/>
      <c r="L33" s="56"/>
      <c r="M33" s="56"/>
      <c r="N33" s="57">
        <f>SUM(B33:M33)</f>
        <v>3699472487.0599999</v>
      </c>
      <c r="O33" s="43">
        <f t="shared" si="13"/>
        <v>0.25650581940322648</v>
      </c>
      <c r="P33" s="43" t="e">
        <f t="shared" si="14"/>
        <v>#DIV/0!</v>
      </c>
    </row>
    <row r="34" spans="1:16" ht="12.95" customHeight="1" x14ac:dyDescent="0.25">
      <c r="A34" s="66" t="s">
        <v>77</v>
      </c>
      <c r="B34" s="56">
        <v>3628.34</v>
      </c>
      <c r="C34" s="56" t="s">
        <v>1</v>
      </c>
      <c r="D34" s="56">
        <v>10682862.67</v>
      </c>
      <c r="E34" s="56" t="s">
        <v>1</v>
      </c>
      <c r="F34" s="56">
        <v>1539202.77</v>
      </c>
      <c r="G34" s="56">
        <v>3357175.42</v>
      </c>
      <c r="H34" s="56"/>
      <c r="I34" s="56"/>
      <c r="J34" s="56"/>
      <c r="K34" s="56"/>
      <c r="L34" s="56"/>
      <c r="M34" s="56"/>
      <c r="N34" s="57">
        <f>SUM(B34:M34)</f>
        <v>15582869.199999999</v>
      </c>
      <c r="O34" s="43">
        <f t="shared" si="13"/>
        <v>1.0804504282111379E-3</v>
      </c>
      <c r="P34" s="43" t="e">
        <f t="shared" si="14"/>
        <v>#DIV/0!</v>
      </c>
    </row>
    <row r="35" spans="1:16" ht="12.95" customHeight="1" x14ac:dyDescent="0.25">
      <c r="A35" s="67" t="s">
        <v>78</v>
      </c>
      <c r="B35" s="59">
        <f>+SUM(B32:B34)</f>
        <v>320261699.94</v>
      </c>
      <c r="C35" s="59">
        <f t="shared" ref="C35:M35" si="15">+SUM(C32:C34)</f>
        <v>816967615.04999995</v>
      </c>
      <c r="D35" s="59">
        <f t="shared" ref="D35:I35" si="16">+SUM(D32:D34)</f>
        <v>775249817.90999997</v>
      </c>
      <c r="E35" s="59">
        <f t="shared" si="16"/>
        <v>422182238.5</v>
      </c>
      <c r="F35" s="59">
        <f t="shared" si="16"/>
        <v>844457540.08000004</v>
      </c>
      <c r="G35" s="59">
        <f t="shared" si="16"/>
        <v>663365095.41999996</v>
      </c>
      <c r="H35" s="59">
        <f t="shared" si="16"/>
        <v>0</v>
      </c>
      <c r="I35" s="59">
        <f t="shared" si="16"/>
        <v>0</v>
      </c>
      <c r="J35" s="59">
        <f t="shared" si="15"/>
        <v>0</v>
      </c>
      <c r="K35" s="59">
        <f>+SUM(K32:K34)</f>
        <v>0</v>
      </c>
      <c r="L35" s="59">
        <f>+SUM(L32:L34)</f>
        <v>0</v>
      </c>
      <c r="M35" s="59">
        <f t="shared" si="15"/>
        <v>0</v>
      </c>
      <c r="N35" s="59">
        <f>+SUM(N32:N34)</f>
        <v>3842484006.8999996</v>
      </c>
      <c r="O35" s="38">
        <f>+N35/$N$5</f>
        <v>0.26642163502531058</v>
      </c>
      <c r="P35" s="38" t="e">
        <f>+J35/I35-1</f>
        <v>#DIV/0!</v>
      </c>
    </row>
    <row r="36" spans="1:16" ht="12.95" customHeight="1" x14ac:dyDescent="0.25">
      <c r="B36" s="52"/>
      <c r="C36" s="53"/>
      <c r="D36" s="53"/>
      <c r="E36" s="53"/>
      <c r="G36" s="53"/>
      <c r="H36" s="53"/>
      <c r="I36" s="53"/>
      <c r="J36" s="53"/>
      <c r="K36" s="53"/>
      <c r="L36" s="53"/>
      <c r="M36" s="53"/>
      <c r="N36" s="53"/>
    </row>
    <row r="37" spans="1:16" ht="12.95" customHeight="1" x14ac:dyDescent="0.25">
      <c r="A37" s="61" t="s">
        <v>79</v>
      </c>
      <c r="B37" s="62">
        <f>+B29-B35</f>
        <v>-317955821.31</v>
      </c>
      <c r="C37" s="62">
        <f t="shared" ref="C37:M37" si="17">+C29-C35</f>
        <v>-815349503.01999998</v>
      </c>
      <c r="D37" s="62">
        <f t="shared" si="17"/>
        <v>-774693169.66999996</v>
      </c>
      <c r="E37" s="62">
        <f t="shared" si="17"/>
        <v>-422182238.5</v>
      </c>
      <c r="F37" s="62">
        <f t="shared" si="17"/>
        <v>-844443482.97000003</v>
      </c>
      <c r="G37" s="62">
        <f t="shared" si="17"/>
        <v>-663364180.70999992</v>
      </c>
      <c r="H37" s="62">
        <f t="shared" si="17"/>
        <v>0</v>
      </c>
      <c r="I37" s="62">
        <f t="shared" si="17"/>
        <v>0</v>
      </c>
      <c r="J37" s="62">
        <f t="shared" si="17"/>
        <v>0</v>
      </c>
      <c r="K37" s="62">
        <f t="shared" si="17"/>
        <v>0</v>
      </c>
      <c r="L37" s="62">
        <f t="shared" si="17"/>
        <v>0</v>
      </c>
      <c r="M37" s="62">
        <f t="shared" si="17"/>
        <v>0</v>
      </c>
      <c r="N37" s="68">
        <f>+SUM(B37:M37)</f>
        <v>-3837988396.1800003</v>
      </c>
      <c r="O37" s="38">
        <f t="shared" ref="O37" si="18">+N37/$N$5</f>
        <v>-0.26610992833861813</v>
      </c>
      <c r="P37" s="38" t="e">
        <f>+J37/I37-1</f>
        <v>#DIV/0!</v>
      </c>
    </row>
    <row r="38" spans="1:16" ht="12.95" customHeight="1" x14ac:dyDescent="0.25">
      <c r="B38" s="52"/>
      <c r="C38" s="53"/>
      <c r="D38" s="53"/>
      <c r="E38" s="53"/>
      <c r="G38" s="53"/>
      <c r="H38" s="53"/>
      <c r="I38" s="53"/>
      <c r="J38" s="53"/>
      <c r="K38" s="53"/>
      <c r="L38" s="53"/>
      <c r="M38" s="53"/>
      <c r="N38" s="53"/>
    </row>
    <row r="39" spans="1:16" ht="12.95" customHeight="1" x14ac:dyDescent="0.25">
      <c r="A39" s="61" t="s">
        <v>80</v>
      </c>
      <c r="B39" s="69"/>
      <c r="C39" s="69"/>
      <c r="D39" s="70"/>
      <c r="E39" s="70"/>
      <c r="F39" s="71"/>
      <c r="G39" s="70"/>
      <c r="H39" s="70"/>
      <c r="I39" s="70"/>
      <c r="J39" s="70"/>
      <c r="K39" s="70"/>
      <c r="L39" s="70"/>
      <c r="M39" s="70"/>
      <c r="N39" s="70"/>
    </row>
    <row r="40" spans="1:16" ht="12.95" customHeight="1" x14ac:dyDescent="0.25">
      <c r="A40" s="72" t="s">
        <v>81</v>
      </c>
      <c r="B40" s="60">
        <v>-4300154.87</v>
      </c>
      <c r="C40" s="60">
        <v>-10200000</v>
      </c>
      <c r="D40" s="60" t="s">
        <v>88</v>
      </c>
      <c r="E40" s="60">
        <v>19999999</v>
      </c>
      <c r="F40" s="60">
        <v>94494304</v>
      </c>
      <c r="G40" s="60">
        <v>7115000</v>
      </c>
      <c r="H40" s="60"/>
      <c r="I40" s="60"/>
      <c r="J40" s="60"/>
      <c r="K40" s="60"/>
      <c r="L40" s="60"/>
      <c r="M40" s="60"/>
      <c r="N40" s="73">
        <f>SUM(B40:M40)</f>
        <v>107109148.13</v>
      </c>
      <c r="O40" s="38">
        <f t="shared" ref="O40" si="19">+N40/$N$5</f>
        <v>7.4264965891126583E-3</v>
      </c>
      <c r="P40" s="38" t="e">
        <f>+J40/I40-1</f>
        <v>#DIV/0!</v>
      </c>
    </row>
    <row r="41" spans="1:16" ht="12.95" customHeight="1" x14ac:dyDescent="0.25">
      <c r="B41" s="52"/>
      <c r="C41" s="53"/>
      <c r="D41" s="53"/>
      <c r="E41" s="53"/>
      <c r="G41" s="53"/>
      <c r="H41" s="53"/>
      <c r="I41" s="53"/>
      <c r="J41" s="53"/>
      <c r="K41" s="53"/>
      <c r="L41" s="53"/>
      <c r="M41" s="53"/>
      <c r="N41" s="53"/>
    </row>
    <row r="42" spans="1:16" ht="12.95" customHeight="1" x14ac:dyDescent="0.25">
      <c r="A42" s="34" t="s">
        <v>82</v>
      </c>
      <c r="B42" s="62">
        <f t="shared" ref="B42:M42" si="20">+B37+B26+B40</f>
        <v>-244561436.55000001</v>
      </c>
      <c r="C42" s="62">
        <f t="shared" si="20"/>
        <v>-95627429.50999999</v>
      </c>
      <c r="D42" s="62">
        <f t="shared" si="20"/>
        <v>-307607595.05000007</v>
      </c>
      <c r="E42" s="62">
        <f t="shared" si="20"/>
        <v>-142926500.5</v>
      </c>
      <c r="F42" s="62">
        <f t="shared" si="20"/>
        <v>-90651335.710000038</v>
      </c>
      <c r="G42" s="62">
        <f t="shared" si="20"/>
        <v>-4868701.4700001478</v>
      </c>
      <c r="H42" s="62">
        <f t="shared" si="20"/>
        <v>0</v>
      </c>
      <c r="I42" s="62">
        <f t="shared" si="20"/>
        <v>0</v>
      </c>
      <c r="J42" s="62">
        <f t="shared" si="20"/>
        <v>0</v>
      </c>
      <c r="K42" s="62">
        <f t="shared" si="20"/>
        <v>0</v>
      </c>
      <c r="L42" s="62">
        <f t="shared" si="20"/>
        <v>0</v>
      </c>
      <c r="M42" s="62">
        <f t="shared" si="20"/>
        <v>0</v>
      </c>
      <c r="N42" s="68">
        <f>+SUM(B42:M42)</f>
        <v>-886242998.79000032</v>
      </c>
      <c r="O42" s="38">
        <f>+N42/$N$5</f>
        <v>-6.1448351728562209E-2</v>
      </c>
      <c r="P42" s="38" t="e">
        <f>+J42/I42-1</f>
        <v>#DIV/0!</v>
      </c>
    </row>
    <row r="43" spans="1:16" ht="12.95" customHeight="1" x14ac:dyDescent="0.25">
      <c r="B43" s="52"/>
      <c r="C43" s="53"/>
      <c r="D43" s="53"/>
      <c r="E43" s="53"/>
      <c r="G43" s="53"/>
      <c r="H43" s="53"/>
      <c r="I43" s="53"/>
      <c r="J43" s="53"/>
      <c r="K43" s="53"/>
      <c r="L43" s="53"/>
      <c r="M43" s="53"/>
      <c r="N43" s="53"/>
    </row>
    <row r="44" spans="1:16" ht="12.95" customHeight="1" x14ac:dyDescent="0.25">
      <c r="A44" s="34" t="s">
        <v>83</v>
      </c>
      <c r="B44" s="62">
        <v>616350820.05999994</v>
      </c>
      <c r="C44" s="68">
        <f>+B45</f>
        <v>371789383.50999993</v>
      </c>
      <c r="D44" s="62">
        <f>+C45</f>
        <v>276161953.99999994</v>
      </c>
      <c r="E44" s="62">
        <f>+D45</f>
        <v>-31445641.050000131</v>
      </c>
      <c r="F44" s="62">
        <f>+E45</f>
        <v>-174372141.55000013</v>
      </c>
      <c r="G44" s="68">
        <f>+F45</f>
        <v>-265023477.26000017</v>
      </c>
      <c r="H44" s="68">
        <f t="shared" ref="H44" si="21">+G45</f>
        <v>-269892178.73000032</v>
      </c>
      <c r="I44" s="68">
        <f>+H45</f>
        <v>-269892178.73000032</v>
      </c>
      <c r="J44" s="68">
        <f>+I45</f>
        <v>-269892178.73000032</v>
      </c>
      <c r="K44" s="68"/>
      <c r="L44" s="68"/>
      <c r="M44" s="68"/>
      <c r="N44" s="68">
        <f>+B44</f>
        <v>616350820.05999994</v>
      </c>
    </row>
    <row r="45" spans="1:16" ht="12.95" customHeight="1" x14ac:dyDescent="0.25">
      <c r="A45" s="34" t="s">
        <v>84</v>
      </c>
      <c r="B45" s="62">
        <f t="shared" ref="B45:J45" si="22">+B42+B44</f>
        <v>371789383.50999993</v>
      </c>
      <c r="C45" s="62">
        <f t="shared" si="22"/>
        <v>276161953.99999994</v>
      </c>
      <c r="D45" s="62">
        <f t="shared" si="22"/>
        <v>-31445641.050000131</v>
      </c>
      <c r="E45" s="62">
        <f t="shared" si="22"/>
        <v>-174372141.55000013</v>
      </c>
      <c r="F45" s="62">
        <f t="shared" si="22"/>
        <v>-265023477.26000017</v>
      </c>
      <c r="G45" s="62">
        <f t="shared" si="22"/>
        <v>-269892178.73000032</v>
      </c>
      <c r="H45" s="62">
        <f t="shared" si="22"/>
        <v>-269892178.73000032</v>
      </c>
      <c r="I45" s="62">
        <f t="shared" si="22"/>
        <v>-269892178.73000032</v>
      </c>
      <c r="J45" s="62">
        <f t="shared" si="22"/>
        <v>-269892178.73000032</v>
      </c>
      <c r="K45" s="62"/>
      <c r="L45" s="62"/>
      <c r="M45" s="62"/>
      <c r="N45" s="62">
        <f>+N42+N44</f>
        <v>-269892178.73000038</v>
      </c>
    </row>
    <row r="46" spans="1:16" ht="12.95" customHeight="1" x14ac:dyDescent="0.25">
      <c r="A46" s="39" t="s">
        <v>85</v>
      </c>
      <c r="B46" s="52">
        <v>371789383.50999999</v>
      </c>
      <c r="C46" s="52">
        <v>276161954</v>
      </c>
      <c r="D46" s="52">
        <v>-31445641.050000001</v>
      </c>
      <c r="E46" s="52">
        <v>-173942162.16</v>
      </c>
      <c r="F46" s="52">
        <v>-264593497.87</v>
      </c>
      <c r="G46" s="52">
        <v>-269462199.33999997</v>
      </c>
      <c r="H46" s="52"/>
      <c r="I46" s="52"/>
      <c r="J46" s="52"/>
      <c r="K46" s="53"/>
      <c r="L46" s="53"/>
      <c r="M46" s="53"/>
      <c r="N46" s="53"/>
    </row>
    <row r="47" spans="1:16" ht="12.95" customHeight="1" x14ac:dyDescent="0.25">
      <c r="A47" s="39" t="s">
        <v>86</v>
      </c>
      <c r="B47" s="52">
        <v>371685998</v>
      </c>
      <c r="C47" s="52">
        <v>276058569</v>
      </c>
      <c r="D47" s="52">
        <v>295920974</v>
      </c>
      <c r="E47" s="52">
        <v>239764452</v>
      </c>
      <c r="F47" s="52">
        <v>149113117</v>
      </c>
      <c r="G47" s="52">
        <v>144244415</v>
      </c>
      <c r="H47" s="52"/>
      <c r="I47" s="52"/>
      <c r="J47" s="52"/>
      <c r="K47" s="53"/>
      <c r="L47" s="53"/>
      <c r="M47" s="53"/>
      <c r="N47" s="53"/>
    </row>
    <row r="48" spans="1:16" ht="12.95" customHeight="1" x14ac:dyDescent="0.25">
      <c r="A48" s="39" t="s">
        <v>87</v>
      </c>
      <c r="B48" s="52"/>
      <c r="C48" s="52"/>
      <c r="D48" s="52">
        <v>-327470000</v>
      </c>
      <c r="E48" s="52">
        <v>-413810000</v>
      </c>
      <c r="F48" s="52">
        <v>-413810000</v>
      </c>
      <c r="G48" s="52">
        <v>-413810000</v>
      </c>
      <c r="H48" s="52"/>
      <c r="I48" s="52"/>
      <c r="J48" s="52"/>
      <c r="K48" s="53"/>
      <c r="L48" s="53"/>
      <c r="M48" s="53"/>
      <c r="N48" s="53"/>
    </row>
    <row r="49" spans="2:14" ht="12.95" customHeight="1" x14ac:dyDescent="0.25">
      <c r="B49" s="52"/>
      <c r="C49" s="53"/>
      <c r="D49" s="53"/>
      <c r="E49" s="53"/>
      <c r="G49" s="52"/>
      <c r="H49" s="52"/>
      <c r="I49" s="52"/>
      <c r="J49" s="52"/>
      <c r="K49" s="52"/>
      <c r="L49" s="52"/>
      <c r="M49" s="52"/>
      <c r="N49" s="52"/>
    </row>
    <row r="50" spans="2:14" ht="12.95" customHeight="1" x14ac:dyDescent="0.25">
      <c r="B50" s="52"/>
      <c r="C50" s="53"/>
      <c r="D50" s="53"/>
      <c r="E50" s="53"/>
      <c r="G50" s="52"/>
      <c r="H50" s="52"/>
      <c r="I50" s="53"/>
      <c r="J50" s="52"/>
      <c r="K50" s="52"/>
      <c r="L50" s="52"/>
      <c r="M50" s="53"/>
      <c r="N50" s="53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50E84-B22E-4225-9524-7051923059EA}">
  <dimension ref="A1:D20"/>
  <sheetViews>
    <sheetView tabSelected="1" zoomScale="140" zoomScaleNormal="140" workbookViewId="0">
      <selection activeCell="A6" sqref="A6"/>
    </sheetView>
  </sheetViews>
  <sheetFormatPr baseColWidth="10" defaultRowHeight="15" x14ac:dyDescent="0.25"/>
  <cols>
    <col min="1" max="1" width="11.5703125" style="93"/>
    <col min="2" max="2" width="26.7109375" style="87" bestFit="1" customWidth="1"/>
    <col min="3" max="3" width="69.7109375" customWidth="1"/>
    <col min="4" max="4" width="13.28515625" style="91" bestFit="1" customWidth="1"/>
  </cols>
  <sheetData>
    <row r="1" spans="1:4" x14ac:dyDescent="0.25">
      <c r="D1" s="90" t="s">
        <v>0</v>
      </c>
    </row>
    <row r="2" spans="1:4" ht="68.45" customHeight="1" x14ac:dyDescent="0.25">
      <c r="A2" s="93" t="s">
        <v>116</v>
      </c>
      <c r="B2" s="87" t="s">
        <v>110</v>
      </c>
      <c r="D2" s="89">
        <v>0.15</v>
      </c>
    </row>
    <row r="4" spans="1:4" ht="45" customHeight="1" x14ac:dyDescent="0.25">
      <c r="A4" s="93" t="s">
        <v>116</v>
      </c>
      <c r="B4" s="87" t="s">
        <v>109</v>
      </c>
      <c r="D4" s="91" t="s">
        <v>111</v>
      </c>
    </row>
    <row r="6" spans="1:4" ht="54" customHeight="1" x14ac:dyDescent="0.25">
      <c r="A6" s="93" t="s">
        <v>117</v>
      </c>
      <c r="B6" s="87" t="s">
        <v>115</v>
      </c>
    </row>
    <row r="7" spans="1:4" ht="52.9" customHeight="1" x14ac:dyDescent="0.25">
      <c r="A7" s="93" t="s">
        <v>117</v>
      </c>
      <c r="B7" s="87" t="s">
        <v>112</v>
      </c>
    </row>
    <row r="10" spans="1:4" ht="46.15" customHeight="1" x14ac:dyDescent="0.25">
      <c r="A10" s="93" t="s">
        <v>117</v>
      </c>
      <c r="B10" s="87" t="s">
        <v>113</v>
      </c>
      <c r="D10" s="88">
        <v>0.95</v>
      </c>
    </row>
    <row r="12" spans="1:4" ht="5.45" customHeight="1" x14ac:dyDescent="0.25"/>
    <row r="13" spans="1:4" x14ac:dyDescent="0.25">
      <c r="A13" s="93" t="s">
        <v>117</v>
      </c>
      <c r="B13" s="87" t="s">
        <v>114</v>
      </c>
    </row>
    <row r="14" spans="1:4" ht="37.9" customHeight="1" x14ac:dyDescent="0.25">
      <c r="A14" s="93" t="s">
        <v>117</v>
      </c>
      <c r="B14" s="87" t="s">
        <v>119</v>
      </c>
      <c r="D14" s="91" t="s">
        <v>118</v>
      </c>
    </row>
    <row r="17" spans="1:4" x14ac:dyDescent="0.25">
      <c r="A17" s="93" t="s">
        <v>117</v>
      </c>
      <c r="B17" s="87" t="s">
        <v>128</v>
      </c>
      <c r="C17" s="92" t="s">
        <v>122</v>
      </c>
      <c r="D17" s="1" t="s">
        <v>123</v>
      </c>
    </row>
    <row r="18" spans="1:4" ht="30" x14ac:dyDescent="0.25">
      <c r="A18" s="93" t="s">
        <v>117</v>
      </c>
      <c r="B18" s="87" t="s">
        <v>129</v>
      </c>
      <c r="C18" s="92" t="s">
        <v>124</v>
      </c>
      <c r="D18" s="1" t="s">
        <v>125</v>
      </c>
    </row>
    <row r="19" spans="1:4" x14ac:dyDescent="0.25">
      <c r="A19" s="93" t="s">
        <v>117</v>
      </c>
      <c r="B19" s="87" t="s">
        <v>130</v>
      </c>
      <c r="C19" s="92" t="s">
        <v>126</v>
      </c>
      <c r="D19" s="1" t="s">
        <v>127</v>
      </c>
    </row>
    <row r="20" spans="1:4" x14ac:dyDescent="0.25">
      <c r="A20" s="93" t="s">
        <v>117</v>
      </c>
      <c r="B20" s="87" t="s">
        <v>130</v>
      </c>
      <c r="C20" s="92" t="s">
        <v>120</v>
      </c>
      <c r="D20" s="1" t="s">
        <v>121</v>
      </c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FDC</vt:lpstr>
      <vt:lpstr>Hoja1</vt:lpstr>
    </vt:vector>
  </TitlesOfParts>
  <Company>Lobillo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jvelez</dc:creator>
  <cp:lastModifiedBy>Ana Sofía  Múnera Carmona</cp:lastModifiedBy>
  <cp:lastPrinted>2022-11-17T14:30:35Z</cp:lastPrinted>
  <dcterms:created xsi:type="dcterms:W3CDTF">2018-07-22T19:49:16Z</dcterms:created>
  <dcterms:modified xsi:type="dcterms:W3CDTF">2026-05-25T15:55:30Z</dcterms:modified>
</cp:coreProperties>
</file>